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REPUBLIC\SMALLWORLD\BOQ TEMPLATE\master\"/>
    </mc:Choice>
  </mc:AlternateContent>
  <xr:revisionPtr revIDLastSave="0" documentId="8_{30488978-5D6D-463C-B34A-43514959004D}" xr6:coauthVersionLast="47" xr6:coauthVersionMax="47" xr10:uidLastSave="{00000000-0000-0000-0000-000000000000}"/>
  <bookViews>
    <workbookView xWindow="-120" yWindow="-120" windowWidth="21840" windowHeight="13020" firstSheet="1" activeTab="1" xr2:uid="{00000000-000D-0000-FFFF-FFFF00000000}"/>
  </bookViews>
  <sheets>
    <sheet name="Summary PO Permit" sheetId="15" state="hidden" r:id="rId1"/>
    <sheet name="BoQ NRO Cluster" sheetId="14" r:id="rId2"/>
    <sheet name="BoM CLUSTER UG" sheetId="12" r:id="rId3"/>
  </sheets>
  <definedNames>
    <definedName name="_xlnm._FilterDatabase" localSheetId="2" hidden="1">'BoM CLUSTER UG'!$A$1:$N$102</definedName>
    <definedName name="_xlnm._FilterDatabase" localSheetId="1" hidden="1">'BoQ NRO Cluster'!$A$13:$Z$105</definedName>
    <definedName name="_xlnm.Print_Area" localSheetId="1">'BoQ NRO Cluster'!$A$1:$R$339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4" i="14" l="1"/>
  <c r="D73" i="14"/>
  <c r="E110" i="14"/>
  <c r="D219" i="14"/>
  <c r="D217" i="14"/>
  <c r="D215" i="14"/>
  <c r="D213" i="14"/>
  <c r="D211" i="14"/>
  <c r="D209" i="14"/>
  <c r="D63" i="14"/>
  <c r="D54" i="14"/>
  <c r="D48" i="14"/>
  <c r="D46" i="14"/>
  <c r="D44" i="14"/>
  <c r="D42" i="14"/>
  <c r="D39" i="14"/>
  <c r="D37" i="14"/>
  <c r="D35" i="14"/>
  <c r="D33" i="14"/>
  <c r="D31" i="14"/>
  <c r="D29" i="14"/>
  <c r="D19" i="14"/>
  <c r="D17" i="14"/>
  <c r="D15" i="14"/>
  <c r="L35" i="12" l="1"/>
  <c r="K35" i="12"/>
  <c r="J35" i="12"/>
  <c r="I35" i="12"/>
  <c r="H35" i="12"/>
  <c r="G35" i="12"/>
  <c r="F35" i="12"/>
  <c r="E35" i="12"/>
  <c r="D35" i="12"/>
  <c r="C35" i="12"/>
  <c r="L34" i="12"/>
  <c r="K34" i="12"/>
  <c r="J34" i="12"/>
  <c r="I34" i="12"/>
  <c r="H34" i="12"/>
  <c r="G34" i="12"/>
  <c r="F34" i="12"/>
  <c r="E34" i="12"/>
  <c r="D34" i="12"/>
  <c r="C34" i="12"/>
  <c r="L33" i="12"/>
  <c r="K33" i="12"/>
  <c r="J33" i="12"/>
  <c r="I33" i="12"/>
  <c r="H33" i="12"/>
  <c r="G33" i="12"/>
  <c r="F33" i="12"/>
  <c r="E33" i="12"/>
  <c r="D33" i="12"/>
  <c r="C33" i="12"/>
  <c r="L32" i="12"/>
  <c r="K32" i="12"/>
  <c r="J32" i="12"/>
  <c r="I32" i="12"/>
  <c r="H32" i="12"/>
  <c r="G32" i="12"/>
  <c r="F32" i="12"/>
  <c r="E32" i="12"/>
  <c r="D32" i="12"/>
  <c r="C32" i="12"/>
  <c r="L31" i="12"/>
  <c r="K31" i="12"/>
  <c r="J31" i="12"/>
  <c r="I31" i="12"/>
  <c r="H31" i="12"/>
  <c r="G31" i="12"/>
  <c r="F31" i="12"/>
  <c r="E31" i="12"/>
  <c r="D31" i="12"/>
  <c r="C31" i="12"/>
  <c r="L30" i="12"/>
  <c r="K30" i="12"/>
  <c r="J30" i="12"/>
  <c r="I30" i="12"/>
  <c r="H30" i="12"/>
  <c r="G30" i="12"/>
  <c r="F30" i="12"/>
  <c r="E30" i="12"/>
  <c r="D30" i="12"/>
  <c r="C30" i="12"/>
  <c r="L29" i="12"/>
  <c r="K29" i="12"/>
  <c r="J29" i="12"/>
  <c r="I29" i="12"/>
  <c r="H29" i="12"/>
  <c r="G29" i="12"/>
  <c r="F29" i="12"/>
  <c r="E29" i="12"/>
  <c r="D29" i="12"/>
  <c r="C29" i="12"/>
  <c r="L28" i="12"/>
  <c r="K28" i="12"/>
  <c r="J28" i="12"/>
  <c r="I28" i="12"/>
  <c r="H28" i="12"/>
  <c r="G28" i="12"/>
  <c r="F28" i="12"/>
  <c r="E28" i="12"/>
  <c r="D28" i="12"/>
  <c r="C28" i="12"/>
  <c r="L27" i="12"/>
  <c r="K27" i="12"/>
  <c r="J27" i="12"/>
  <c r="I27" i="12"/>
  <c r="H27" i="12"/>
  <c r="G27" i="12"/>
  <c r="F27" i="12"/>
  <c r="E27" i="12"/>
  <c r="D27" i="12"/>
  <c r="C27" i="12"/>
  <c r="L26" i="12"/>
  <c r="K26" i="12"/>
  <c r="J26" i="12"/>
  <c r="I26" i="12"/>
  <c r="H26" i="12"/>
  <c r="G26" i="12"/>
  <c r="F26" i="12"/>
  <c r="E26" i="12"/>
  <c r="D26" i="12"/>
  <c r="C26" i="12"/>
  <c r="L25" i="12"/>
  <c r="K25" i="12"/>
  <c r="J25" i="12"/>
  <c r="I25" i="12"/>
  <c r="H25" i="12"/>
  <c r="G25" i="12"/>
  <c r="F25" i="12"/>
  <c r="E25" i="12"/>
  <c r="D25" i="12"/>
  <c r="C25" i="12"/>
  <c r="L24" i="12"/>
  <c r="K24" i="12"/>
  <c r="J24" i="12"/>
  <c r="I24" i="12"/>
  <c r="H24" i="12"/>
  <c r="G24" i="12"/>
  <c r="F24" i="12"/>
  <c r="E24" i="12"/>
  <c r="D24" i="12"/>
  <c r="C24" i="12"/>
  <c r="E20" i="14" l="1"/>
  <c r="E18" i="14"/>
  <c r="E16" i="14"/>
  <c r="C53" i="12" l="1"/>
  <c r="D53" i="12"/>
  <c r="D54" i="12"/>
  <c r="D55" i="12"/>
  <c r="E220" i="14" l="1"/>
  <c r="E218" i="14"/>
  <c r="E216" i="14"/>
  <c r="E214" i="14"/>
  <c r="E212" i="14"/>
  <c r="E210" i="14"/>
  <c r="D241" i="14"/>
  <c r="D240" i="14"/>
  <c r="D234" i="14"/>
  <c r="E234" i="14" s="1"/>
  <c r="D232" i="14"/>
  <c r="E185" i="14"/>
  <c r="D184" i="14" s="1"/>
  <c r="E183" i="14"/>
  <c r="D182" i="14" s="1"/>
  <c r="E181" i="14"/>
  <c r="D180" i="14" s="1"/>
  <c r="E179" i="14"/>
  <c r="D178" i="14" s="1"/>
  <c r="E177" i="14"/>
  <c r="D176" i="14" s="1"/>
  <c r="E175" i="14"/>
  <c r="D174" i="14" s="1"/>
  <c r="E112" i="14"/>
  <c r="E98" i="14"/>
  <c r="E66" i="14"/>
  <c r="D65" i="14" s="1"/>
  <c r="D84" i="12"/>
  <c r="E84" i="12"/>
  <c r="F84" i="12"/>
  <c r="G84" i="12"/>
  <c r="H84" i="12"/>
  <c r="I84" i="12"/>
  <c r="J84" i="12"/>
  <c r="K84" i="12"/>
  <c r="L84" i="12"/>
  <c r="C84" i="12"/>
  <c r="L72" i="12"/>
  <c r="K72" i="12"/>
  <c r="J72" i="12"/>
  <c r="I72" i="12"/>
  <c r="H72" i="12"/>
  <c r="G72" i="12"/>
  <c r="F72" i="12"/>
  <c r="E72" i="12"/>
  <c r="D72" i="12"/>
  <c r="C72" i="12"/>
  <c r="L68" i="12"/>
  <c r="K68" i="12"/>
  <c r="J68" i="12"/>
  <c r="I68" i="12"/>
  <c r="H68" i="12"/>
  <c r="G68" i="12"/>
  <c r="F68" i="12"/>
  <c r="E68" i="12"/>
  <c r="D68" i="12"/>
  <c r="C68" i="12"/>
  <c r="L67" i="12"/>
  <c r="K67" i="12"/>
  <c r="J67" i="12"/>
  <c r="I67" i="12"/>
  <c r="H67" i="12"/>
  <c r="G67" i="12"/>
  <c r="F67" i="12"/>
  <c r="E67" i="12"/>
  <c r="D67" i="12"/>
  <c r="C67" i="12"/>
  <c r="L66" i="12"/>
  <c r="K66" i="12"/>
  <c r="J66" i="12"/>
  <c r="I66" i="12"/>
  <c r="H66" i="12"/>
  <c r="G66" i="12"/>
  <c r="F66" i="12"/>
  <c r="E66" i="12"/>
  <c r="D66" i="12"/>
  <c r="C66" i="12"/>
  <c r="L65" i="12"/>
  <c r="K65" i="12"/>
  <c r="J65" i="12"/>
  <c r="I65" i="12"/>
  <c r="H65" i="12"/>
  <c r="G65" i="12"/>
  <c r="F65" i="12"/>
  <c r="E65" i="12"/>
  <c r="D65" i="12"/>
  <c r="C65" i="12"/>
  <c r="L60" i="12"/>
  <c r="K60" i="12"/>
  <c r="J60" i="12"/>
  <c r="I60" i="12"/>
  <c r="H60" i="12"/>
  <c r="G60" i="12"/>
  <c r="F60" i="12"/>
  <c r="E60" i="12"/>
  <c r="D60" i="12"/>
  <c r="C60" i="12"/>
  <c r="B60" i="12"/>
  <c r="L59" i="12"/>
  <c r="K59" i="12"/>
  <c r="J59" i="12"/>
  <c r="I59" i="12"/>
  <c r="H59" i="12"/>
  <c r="G59" i="12"/>
  <c r="F59" i="12"/>
  <c r="E59" i="12"/>
  <c r="D59" i="12"/>
  <c r="C59" i="12"/>
  <c r="B59" i="12"/>
  <c r="L58" i="12"/>
  <c r="K58" i="12"/>
  <c r="J58" i="12"/>
  <c r="I58" i="12"/>
  <c r="H58" i="12"/>
  <c r="G58" i="12"/>
  <c r="F58" i="12"/>
  <c r="E58" i="12"/>
  <c r="D58" i="12"/>
  <c r="C58" i="12"/>
  <c r="B58" i="12"/>
  <c r="L57" i="12"/>
  <c r="K57" i="12"/>
  <c r="J57" i="12"/>
  <c r="I57" i="12"/>
  <c r="H57" i="12"/>
  <c r="G57" i="12"/>
  <c r="F57" i="12"/>
  <c r="E57" i="12"/>
  <c r="D57" i="12"/>
  <c r="C57" i="12"/>
  <c r="B57" i="12"/>
  <c r="L71" i="12"/>
  <c r="K71" i="12"/>
  <c r="J71" i="12"/>
  <c r="I71" i="12"/>
  <c r="H71" i="12"/>
  <c r="G71" i="12"/>
  <c r="F71" i="12"/>
  <c r="E71" i="12"/>
  <c r="D71" i="12"/>
  <c r="C71" i="12"/>
  <c r="E64" i="14"/>
  <c r="E55" i="14"/>
  <c r="E49" i="14"/>
  <c r="E47" i="14"/>
  <c r="E45" i="14"/>
  <c r="E43" i="14"/>
  <c r="L64" i="12"/>
  <c r="K64" i="12"/>
  <c r="J64" i="12"/>
  <c r="I64" i="12"/>
  <c r="H64" i="12"/>
  <c r="G64" i="12"/>
  <c r="F64" i="12"/>
  <c r="E64" i="12"/>
  <c r="D64" i="12"/>
  <c r="L63" i="12"/>
  <c r="K63" i="12"/>
  <c r="J63" i="12"/>
  <c r="I63" i="12"/>
  <c r="H63" i="12"/>
  <c r="G63" i="12"/>
  <c r="F63" i="12"/>
  <c r="E63" i="12"/>
  <c r="D63" i="12"/>
  <c r="L62" i="12"/>
  <c r="K62" i="12"/>
  <c r="J62" i="12"/>
  <c r="I62" i="12"/>
  <c r="H62" i="12"/>
  <c r="G62" i="12"/>
  <c r="F62" i="12"/>
  <c r="E62" i="12"/>
  <c r="D62" i="12"/>
  <c r="L61" i="12"/>
  <c r="K61" i="12"/>
  <c r="J61" i="12"/>
  <c r="I61" i="12"/>
  <c r="H61" i="12"/>
  <c r="G61" i="12"/>
  <c r="F61" i="12"/>
  <c r="E61" i="12"/>
  <c r="D61" i="12"/>
  <c r="C64" i="12"/>
  <c r="C63" i="12"/>
  <c r="C62" i="12"/>
  <c r="C61" i="12"/>
  <c r="D125" i="12"/>
  <c r="E125" i="12"/>
  <c r="F125" i="12"/>
  <c r="G125" i="12"/>
  <c r="H125" i="12"/>
  <c r="I125" i="12"/>
  <c r="J125" i="12"/>
  <c r="K125" i="12"/>
  <c r="L125" i="12"/>
  <c r="D121" i="12"/>
  <c r="E121" i="12"/>
  <c r="F121" i="12"/>
  <c r="G121" i="12"/>
  <c r="H121" i="12"/>
  <c r="I121" i="12"/>
  <c r="J121" i="12"/>
  <c r="K121" i="12"/>
  <c r="L121" i="12"/>
  <c r="L111" i="12"/>
  <c r="L113" i="12" s="1"/>
  <c r="K111" i="12"/>
  <c r="K113" i="12" s="1"/>
  <c r="J111" i="12"/>
  <c r="J113" i="12" s="1"/>
  <c r="I111" i="12"/>
  <c r="I113" i="12" s="1"/>
  <c r="H111" i="12"/>
  <c r="H113" i="12" s="1"/>
  <c r="G111" i="12"/>
  <c r="G113" i="12" s="1"/>
  <c r="F111" i="12"/>
  <c r="F113" i="12" s="1"/>
  <c r="E111" i="12"/>
  <c r="E113" i="12" s="1"/>
  <c r="D111" i="12"/>
  <c r="D113" i="12" s="1"/>
  <c r="L110" i="12"/>
  <c r="L112" i="12" s="1"/>
  <c r="K110" i="12"/>
  <c r="K112" i="12" s="1"/>
  <c r="J110" i="12"/>
  <c r="J112" i="12" s="1"/>
  <c r="I110" i="12"/>
  <c r="I112" i="12" s="1"/>
  <c r="H110" i="12"/>
  <c r="H112" i="12" s="1"/>
  <c r="G110" i="12"/>
  <c r="G112" i="12" s="1"/>
  <c r="F110" i="12"/>
  <c r="F112" i="12" s="1"/>
  <c r="E110" i="12"/>
  <c r="E112" i="12" s="1"/>
  <c r="D110" i="12"/>
  <c r="L95" i="12"/>
  <c r="L94" i="12" s="1"/>
  <c r="K95" i="12"/>
  <c r="K94" i="12" s="1"/>
  <c r="J95" i="12"/>
  <c r="J94" i="12" s="1"/>
  <c r="I95" i="12"/>
  <c r="I94" i="12" s="1"/>
  <c r="H95" i="12"/>
  <c r="H94" i="12" s="1"/>
  <c r="G95" i="12"/>
  <c r="G94" i="12" s="1"/>
  <c r="F95" i="12"/>
  <c r="F94" i="12" s="1"/>
  <c r="E95" i="12"/>
  <c r="E94" i="12" s="1"/>
  <c r="D95" i="12"/>
  <c r="D94" i="12" s="1"/>
  <c r="L88" i="12"/>
  <c r="K88" i="12"/>
  <c r="J88" i="12"/>
  <c r="I88" i="12"/>
  <c r="H88" i="12"/>
  <c r="G88" i="12"/>
  <c r="F88" i="12"/>
  <c r="E88" i="12"/>
  <c r="D88" i="12"/>
  <c r="L85" i="12"/>
  <c r="L91" i="12" s="1"/>
  <c r="K85" i="12"/>
  <c r="K91" i="12" s="1"/>
  <c r="J85" i="12"/>
  <c r="J91" i="12" s="1"/>
  <c r="I85" i="12"/>
  <c r="I90" i="12" s="1"/>
  <c r="I87" i="12" s="1"/>
  <c r="H85" i="12"/>
  <c r="H90" i="12" s="1"/>
  <c r="H87" i="12" s="1"/>
  <c r="G85" i="12"/>
  <c r="G90" i="12" s="1"/>
  <c r="G87" i="12" s="1"/>
  <c r="F85" i="12"/>
  <c r="F90" i="12" s="1"/>
  <c r="F87" i="12" s="1"/>
  <c r="E85" i="12"/>
  <c r="E90" i="12" s="1"/>
  <c r="E87" i="12" s="1"/>
  <c r="D85" i="12"/>
  <c r="D90" i="12" s="1"/>
  <c r="D87" i="12" s="1"/>
  <c r="L73" i="12"/>
  <c r="K73" i="12"/>
  <c r="J73" i="12"/>
  <c r="I73" i="12"/>
  <c r="H73" i="12"/>
  <c r="G73" i="12"/>
  <c r="F73" i="12"/>
  <c r="E73" i="12"/>
  <c r="D73" i="12"/>
  <c r="L70" i="12"/>
  <c r="K70" i="12"/>
  <c r="J70" i="12"/>
  <c r="I70" i="12"/>
  <c r="H70" i="12"/>
  <c r="G70" i="12"/>
  <c r="F70" i="12"/>
  <c r="E70" i="12"/>
  <c r="D70" i="12"/>
  <c r="L56" i="12"/>
  <c r="K56" i="12"/>
  <c r="J56" i="12"/>
  <c r="I56" i="12"/>
  <c r="H56" i="12"/>
  <c r="G56" i="12"/>
  <c r="F56" i="12"/>
  <c r="E56" i="12"/>
  <c r="D56" i="12"/>
  <c r="D83" i="12" s="1"/>
  <c r="C56" i="12"/>
  <c r="L55" i="12"/>
  <c r="K55" i="12"/>
  <c r="J55" i="12"/>
  <c r="I55" i="12"/>
  <c r="H55" i="12"/>
  <c r="G55" i="12"/>
  <c r="F55" i="12"/>
  <c r="E55" i="12"/>
  <c r="C55" i="12"/>
  <c r="L54" i="12"/>
  <c r="K54" i="12"/>
  <c r="J54" i="12"/>
  <c r="I54" i="12"/>
  <c r="H54" i="12"/>
  <c r="G54" i="12"/>
  <c r="F54" i="12"/>
  <c r="E54" i="12"/>
  <c r="C54" i="12"/>
  <c r="L53" i="12"/>
  <c r="K53" i="12"/>
  <c r="J53" i="12"/>
  <c r="I53" i="12"/>
  <c r="H53" i="12"/>
  <c r="G53" i="12"/>
  <c r="F53" i="12"/>
  <c r="E53" i="12"/>
  <c r="E40" i="14"/>
  <c r="E38" i="14"/>
  <c r="E36" i="14"/>
  <c r="E34" i="14"/>
  <c r="E32" i="14"/>
  <c r="E30" i="14"/>
  <c r="D37" i="12"/>
  <c r="D86" i="12" s="1"/>
  <c r="E37" i="12"/>
  <c r="E86" i="12" s="1"/>
  <c r="F37" i="12"/>
  <c r="F86" i="12" s="1"/>
  <c r="G37" i="12"/>
  <c r="G86" i="12" s="1"/>
  <c r="H37" i="12"/>
  <c r="H86" i="12" s="1"/>
  <c r="I37" i="12"/>
  <c r="I86" i="12" s="1"/>
  <c r="J37" i="12"/>
  <c r="J86" i="12" s="1"/>
  <c r="K37" i="12"/>
  <c r="K86" i="12" s="1"/>
  <c r="L37" i="12"/>
  <c r="L86" i="12" s="1"/>
  <c r="D14" i="12"/>
  <c r="E14" i="12"/>
  <c r="F14" i="12"/>
  <c r="G14" i="12"/>
  <c r="H14" i="12"/>
  <c r="I14" i="12"/>
  <c r="J14" i="12"/>
  <c r="K14" i="12"/>
  <c r="L14" i="12"/>
  <c r="D23" i="12"/>
  <c r="E23" i="12"/>
  <c r="F23" i="12"/>
  <c r="G23" i="12"/>
  <c r="H23" i="12"/>
  <c r="I23" i="12"/>
  <c r="J23" i="12"/>
  <c r="K23" i="12"/>
  <c r="L23" i="12"/>
  <c r="B16" i="12"/>
  <c r="C23" i="12"/>
  <c r="B1" i="12"/>
  <c r="D112" i="12" l="1"/>
  <c r="E135" i="14"/>
  <c r="F83" i="12"/>
  <c r="E96" i="14"/>
  <c r="K83" i="12"/>
  <c r="I83" i="12"/>
  <c r="G83" i="12"/>
  <c r="H83" i="12"/>
  <c r="E83" i="12"/>
  <c r="C83" i="12"/>
  <c r="J83" i="12"/>
  <c r="L83" i="12"/>
  <c r="C69" i="12"/>
  <c r="D98" i="12"/>
  <c r="J69" i="12"/>
  <c r="K69" i="12"/>
  <c r="D228" i="14"/>
  <c r="E228" i="14" s="1"/>
  <c r="E162" i="14"/>
  <c r="D162" i="14" s="1"/>
  <c r="D69" i="12"/>
  <c r="E69" i="12"/>
  <c r="G69" i="12"/>
  <c r="H69" i="12"/>
  <c r="L69" i="12"/>
  <c r="F69" i="12"/>
  <c r="I69" i="12"/>
  <c r="E95" i="14"/>
  <c r="H98" i="12"/>
  <c r="I98" i="12"/>
  <c r="L98" i="12"/>
  <c r="E98" i="12"/>
  <c r="K98" i="12"/>
  <c r="J98" i="12"/>
  <c r="G98" i="12"/>
  <c r="F98" i="12"/>
  <c r="I123" i="12"/>
  <c r="E123" i="12"/>
  <c r="D123" i="12"/>
  <c r="F123" i="12"/>
  <c r="G123" i="12"/>
  <c r="F91" i="12"/>
  <c r="I91" i="12"/>
  <c r="L123" i="12"/>
  <c r="K123" i="12"/>
  <c r="H123" i="12"/>
  <c r="E91" i="12"/>
  <c r="G91" i="12"/>
  <c r="H91" i="12"/>
  <c r="J123" i="12"/>
  <c r="D91" i="12"/>
  <c r="J90" i="12"/>
  <c r="J87" i="12" s="1"/>
  <c r="K90" i="12"/>
  <c r="K87" i="12" s="1"/>
  <c r="L90" i="12"/>
  <c r="L87" i="12" s="1"/>
  <c r="K36" i="12"/>
  <c r="K100" i="12" s="1"/>
  <c r="K101" i="12" s="1"/>
  <c r="H36" i="12"/>
  <c r="H100" i="12" s="1"/>
  <c r="H101" i="12" s="1"/>
  <c r="E36" i="12"/>
  <c r="E100" i="12" s="1"/>
  <c r="E101" i="12" s="1"/>
  <c r="J36" i="12"/>
  <c r="J100" i="12" s="1"/>
  <c r="J101" i="12" s="1"/>
  <c r="G36" i="12"/>
  <c r="G100" i="12" s="1"/>
  <c r="G101" i="12" s="1"/>
  <c r="L36" i="12"/>
  <c r="L100" i="12" s="1"/>
  <c r="L101" i="12" s="1"/>
  <c r="I36" i="12"/>
  <c r="I100" i="12" s="1"/>
  <c r="I101" i="12" s="1"/>
  <c r="F36" i="12"/>
  <c r="F100" i="12" s="1"/>
  <c r="F101" i="12" s="1"/>
  <c r="D97" i="12" l="1"/>
  <c r="D225" i="14"/>
  <c r="E225" i="14" s="1"/>
  <c r="H97" i="12"/>
  <c r="D61" i="14"/>
  <c r="L97" i="12"/>
  <c r="E97" i="12"/>
  <c r="I97" i="12"/>
  <c r="K97" i="12"/>
  <c r="F97" i="12"/>
  <c r="J97" i="12"/>
  <c r="G97" i="12"/>
  <c r="D36" i="12" l="1"/>
  <c r="D100" i="12" s="1"/>
  <c r="D101" i="12" s="1"/>
  <c r="C37" i="12"/>
  <c r="D226" i="14" s="1"/>
  <c r="E226" i="14" s="1"/>
  <c r="C85" i="12" l="1"/>
  <c r="D229" i="14" s="1"/>
  <c r="B3" i="15" l="1"/>
  <c r="E241" i="14" l="1"/>
  <c r="E240" i="14"/>
  <c r="E232" i="14"/>
  <c r="E229" i="14"/>
  <c r="E233" i="14"/>
  <c r="E237" i="14"/>
  <c r="E230" i="14"/>
  <c r="C125" i="12"/>
  <c r="C121" i="12"/>
  <c r="E188" i="14" s="1"/>
  <c r="C111" i="12"/>
  <c r="C110" i="12"/>
  <c r="C123" i="12" l="1"/>
  <c r="E139" i="14"/>
  <c r="D138" i="14" s="1"/>
  <c r="C113" i="12"/>
  <c r="E141" i="14" s="1"/>
  <c r="D140" i="14" s="1"/>
  <c r="K209" i="14"/>
  <c r="C112" i="12"/>
  <c r="E137" i="14" l="1"/>
  <c r="D136" i="14" s="1"/>
  <c r="D134" i="14"/>
  <c r="I226" i="14" l="1"/>
  <c r="C86" i="12"/>
  <c r="D231" i="14" s="1"/>
  <c r="I320" i="14"/>
  <c r="H320" i="14"/>
  <c r="I319" i="14"/>
  <c r="I321" i="14" s="1"/>
  <c r="H319" i="14"/>
  <c r="H321" i="14" s="1"/>
  <c r="J321" i="14" s="1"/>
  <c r="I315" i="14"/>
  <c r="H315" i="14"/>
  <c r="I314" i="14"/>
  <c r="I316" i="14" s="1"/>
  <c r="H314" i="14"/>
  <c r="H316" i="14" s="1"/>
  <c r="J316" i="14" s="1"/>
  <c r="I310" i="14"/>
  <c r="H310" i="14"/>
  <c r="I309" i="14"/>
  <c r="H309" i="14"/>
  <c r="I308" i="14"/>
  <c r="H308" i="14"/>
  <c r="I304" i="14"/>
  <c r="I305" i="14" s="1"/>
  <c r="H304" i="14"/>
  <c r="H305" i="14" s="1"/>
  <c r="L300" i="14"/>
  <c r="K300" i="14"/>
  <c r="I300" i="14"/>
  <c r="I301" i="14" s="1"/>
  <c r="H300" i="14"/>
  <c r="H301" i="14" s="1"/>
  <c r="L296" i="14"/>
  <c r="H296" i="14"/>
  <c r="H297" i="14" s="1"/>
  <c r="L292" i="14"/>
  <c r="K292" i="14"/>
  <c r="I292" i="14"/>
  <c r="H292" i="14"/>
  <c r="L291" i="14"/>
  <c r="H291" i="14"/>
  <c r="L287" i="14"/>
  <c r="H287" i="14"/>
  <c r="L286" i="14"/>
  <c r="H286" i="14"/>
  <c r="L285" i="14"/>
  <c r="K285" i="14"/>
  <c r="I285" i="14"/>
  <c r="H285" i="14"/>
  <c r="L284" i="14"/>
  <c r="K284" i="14"/>
  <c r="I284" i="14"/>
  <c r="H284" i="14"/>
  <c r="L280" i="14"/>
  <c r="K280" i="14"/>
  <c r="I280" i="14"/>
  <c r="H280" i="14"/>
  <c r="L279" i="14"/>
  <c r="K279" i="14"/>
  <c r="I279" i="14"/>
  <c r="H279" i="14"/>
  <c r="L278" i="14"/>
  <c r="K278" i="14"/>
  <c r="I278" i="14"/>
  <c r="H278" i="14"/>
  <c r="L277" i="14"/>
  <c r="K277" i="14"/>
  <c r="I277" i="14"/>
  <c r="H277" i="14"/>
  <c r="L276" i="14"/>
  <c r="K276" i="14"/>
  <c r="I276" i="14"/>
  <c r="H276" i="14"/>
  <c r="L275" i="14"/>
  <c r="K275" i="14"/>
  <c r="I275" i="14"/>
  <c r="H275" i="14"/>
  <c r="L274" i="14"/>
  <c r="K274" i="14"/>
  <c r="I274" i="14"/>
  <c r="H274" i="14"/>
  <c r="L273" i="14"/>
  <c r="K273" i="14"/>
  <c r="I273" i="14"/>
  <c r="H273" i="14"/>
  <c r="L272" i="14"/>
  <c r="K272" i="14"/>
  <c r="I272" i="14"/>
  <c r="H272" i="14"/>
  <c r="L271" i="14"/>
  <c r="K271" i="14"/>
  <c r="I271" i="14"/>
  <c r="H271" i="14"/>
  <c r="L270" i="14"/>
  <c r="K270" i="14"/>
  <c r="I270" i="14"/>
  <c r="H270" i="14"/>
  <c r="L269" i="14"/>
  <c r="K269" i="14"/>
  <c r="I269" i="14"/>
  <c r="H269" i="14"/>
  <c r="L268" i="14"/>
  <c r="K268" i="14"/>
  <c r="I268" i="14"/>
  <c r="H268" i="14"/>
  <c r="L267" i="14"/>
  <c r="K267" i="14"/>
  <c r="I267" i="14"/>
  <c r="H267" i="14"/>
  <c r="L266" i="14"/>
  <c r="K266" i="14"/>
  <c r="I266" i="14"/>
  <c r="H266" i="14"/>
  <c r="L265" i="14"/>
  <c r="K265" i="14"/>
  <c r="I265" i="14"/>
  <c r="H265" i="14"/>
  <c r="L264" i="14"/>
  <c r="K264" i="14"/>
  <c r="I264" i="14"/>
  <c r="H264" i="14"/>
  <c r="L263" i="14"/>
  <c r="K263" i="14"/>
  <c r="I263" i="14"/>
  <c r="H263" i="14"/>
  <c r="L262" i="14"/>
  <c r="K262" i="14"/>
  <c r="I262" i="14"/>
  <c r="H262" i="14"/>
  <c r="L261" i="14"/>
  <c r="K261" i="14"/>
  <c r="I261" i="14"/>
  <c r="H261" i="14"/>
  <c r="L260" i="14"/>
  <c r="K260" i="14"/>
  <c r="I260" i="14"/>
  <c r="H260" i="14"/>
  <c r="L259" i="14"/>
  <c r="K259" i="14"/>
  <c r="I259" i="14"/>
  <c r="H259" i="14"/>
  <c r="L258" i="14"/>
  <c r="K258" i="14"/>
  <c r="I258" i="14"/>
  <c r="H258" i="14"/>
  <c r="L257" i="14"/>
  <c r="K257" i="14"/>
  <c r="I257" i="14"/>
  <c r="H257" i="14"/>
  <c r="L256" i="14"/>
  <c r="K256" i="14"/>
  <c r="I256" i="14"/>
  <c r="H256" i="14"/>
  <c r="L255" i="14"/>
  <c r="K255" i="14"/>
  <c r="I255" i="14"/>
  <c r="H255" i="14"/>
  <c r="L254" i="14"/>
  <c r="K254" i="14"/>
  <c r="I254" i="14"/>
  <c r="H254" i="14"/>
  <c r="L253" i="14"/>
  <c r="K253" i="14"/>
  <c r="I253" i="14"/>
  <c r="H253" i="14"/>
  <c r="L252" i="14"/>
  <c r="K252" i="14"/>
  <c r="I252" i="14"/>
  <c r="H252" i="14"/>
  <c r="L251" i="14"/>
  <c r="K251" i="14"/>
  <c r="I251" i="14"/>
  <c r="H251" i="14"/>
  <c r="L250" i="14"/>
  <c r="K250" i="14"/>
  <c r="I250" i="14"/>
  <c r="H250" i="14"/>
  <c r="L249" i="14"/>
  <c r="K249" i="14"/>
  <c r="I249" i="14"/>
  <c r="H249" i="14"/>
  <c r="L248" i="14"/>
  <c r="K248" i="14"/>
  <c r="I248" i="14"/>
  <c r="H248" i="14"/>
  <c r="L247" i="14"/>
  <c r="K247" i="14"/>
  <c r="I247" i="14"/>
  <c r="H247" i="14"/>
  <c r="L246" i="14"/>
  <c r="K246" i="14"/>
  <c r="I246" i="14"/>
  <c r="H246" i="14"/>
  <c r="L245" i="14"/>
  <c r="K245" i="14"/>
  <c r="I245" i="14"/>
  <c r="H245" i="14"/>
  <c r="L241" i="14"/>
  <c r="K241" i="14"/>
  <c r="L240" i="14"/>
  <c r="K240" i="14"/>
  <c r="I240" i="14"/>
  <c r="H240" i="14"/>
  <c r="L239" i="14"/>
  <c r="L238" i="14"/>
  <c r="L237" i="14"/>
  <c r="K237" i="14"/>
  <c r="I237" i="14"/>
  <c r="H237" i="14"/>
  <c r="L236" i="14"/>
  <c r="L235" i="14"/>
  <c r="L234" i="14"/>
  <c r="K234" i="14"/>
  <c r="I234" i="14"/>
  <c r="H234" i="14"/>
  <c r="L233" i="14"/>
  <c r="K233" i="14"/>
  <c r="I233" i="14"/>
  <c r="H233" i="14"/>
  <c r="L231" i="14"/>
  <c r="L230" i="14"/>
  <c r="K230" i="14"/>
  <c r="I230" i="14"/>
  <c r="H230" i="14"/>
  <c r="L229" i="14"/>
  <c r="K229" i="14"/>
  <c r="I229" i="14"/>
  <c r="H229" i="14"/>
  <c r="L228" i="14"/>
  <c r="L227" i="14"/>
  <c r="K227" i="14"/>
  <c r="I227" i="14"/>
  <c r="H227" i="14"/>
  <c r="L226" i="14"/>
  <c r="L225" i="14"/>
  <c r="L224" i="14"/>
  <c r="K224" i="14"/>
  <c r="I224" i="14"/>
  <c r="H224" i="14"/>
  <c r="L223" i="14"/>
  <c r="K223" i="14"/>
  <c r="I223" i="14"/>
  <c r="H223" i="14"/>
  <c r="L222" i="14"/>
  <c r="K222" i="14"/>
  <c r="I222" i="14"/>
  <c r="H222" i="14"/>
  <c r="L221" i="14"/>
  <c r="K221" i="14"/>
  <c r="I221" i="14"/>
  <c r="H221" i="14"/>
  <c r="L218" i="14"/>
  <c r="K218" i="14"/>
  <c r="I218" i="14"/>
  <c r="H218" i="14"/>
  <c r="L217" i="14"/>
  <c r="K217" i="14"/>
  <c r="I217" i="14"/>
  <c r="H217" i="14"/>
  <c r="L216" i="14"/>
  <c r="K216" i="14"/>
  <c r="I216" i="14"/>
  <c r="H216" i="14"/>
  <c r="L215" i="14"/>
  <c r="K215" i="14"/>
  <c r="I215" i="14"/>
  <c r="H215" i="14"/>
  <c r="L214" i="14"/>
  <c r="K214" i="14"/>
  <c r="I214" i="14"/>
  <c r="H214" i="14"/>
  <c r="L213" i="14"/>
  <c r="K213" i="14"/>
  <c r="I213" i="14"/>
  <c r="H213" i="14"/>
  <c r="L212" i="14"/>
  <c r="K212" i="14"/>
  <c r="I212" i="14"/>
  <c r="H212" i="14"/>
  <c r="L211" i="14"/>
  <c r="K211" i="14"/>
  <c r="I211" i="14"/>
  <c r="H211" i="14"/>
  <c r="L210" i="14"/>
  <c r="K210" i="14"/>
  <c r="I210" i="14"/>
  <c r="H210" i="14"/>
  <c r="L209" i="14"/>
  <c r="I209" i="14"/>
  <c r="H209" i="14"/>
  <c r="L205" i="14"/>
  <c r="K205" i="14"/>
  <c r="I205" i="14"/>
  <c r="H205" i="14"/>
  <c r="L204" i="14"/>
  <c r="K204" i="14"/>
  <c r="I204" i="14"/>
  <c r="H204" i="14"/>
  <c r="L203" i="14"/>
  <c r="K203" i="14"/>
  <c r="I203" i="14"/>
  <c r="H203" i="14"/>
  <c r="L202" i="14"/>
  <c r="K202" i="14"/>
  <c r="I202" i="14"/>
  <c r="H202" i="14"/>
  <c r="L201" i="14"/>
  <c r="K201" i="14"/>
  <c r="I201" i="14"/>
  <c r="H201" i="14"/>
  <c r="L200" i="14"/>
  <c r="K200" i="14"/>
  <c r="I200" i="14"/>
  <c r="H200" i="14"/>
  <c r="L199" i="14"/>
  <c r="K199" i="14"/>
  <c r="I199" i="14"/>
  <c r="H199" i="14"/>
  <c r="L198" i="14"/>
  <c r="K198" i="14"/>
  <c r="I198" i="14"/>
  <c r="H198" i="14"/>
  <c r="L197" i="14"/>
  <c r="K197" i="14"/>
  <c r="I197" i="14"/>
  <c r="H197" i="14"/>
  <c r="L196" i="14"/>
  <c r="K196" i="14"/>
  <c r="I196" i="14"/>
  <c r="H196" i="14"/>
  <c r="L195" i="14"/>
  <c r="K195" i="14"/>
  <c r="I195" i="14"/>
  <c r="H195" i="14"/>
  <c r="L194" i="14"/>
  <c r="K194" i="14"/>
  <c r="I194" i="14"/>
  <c r="H194" i="14"/>
  <c r="L193" i="14"/>
  <c r="K193" i="14"/>
  <c r="I193" i="14"/>
  <c r="H193" i="14"/>
  <c r="L192" i="14"/>
  <c r="K192" i="14"/>
  <c r="I192" i="14"/>
  <c r="H192" i="14"/>
  <c r="L191" i="14"/>
  <c r="K191" i="14"/>
  <c r="I191" i="14"/>
  <c r="H191" i="14"/>
  <c r="L190" i="14"/>
  <c r="K190" i="14"/>
  <c r="I190" i="14"/>
  <c r="H190" i="14"/>
  <c r="L189" i="14"/>
  <c r="K189" i="14"/>
  <c r="I189" i="14"/>
  <c r="H189" i="14"/>
  <c r="L188" i="14"/>
  <c r="K188" i="14"/>
  <c r="I188" i="14"/>
  <c r="H188" i="14"/>
  <c r="L187" i="14"/>
  <c r="K187" i="14"/>
  <c r="L186" i="14"/>
  <c r="K186" i="14"/>
  <c r="L185" i="14"/>
  <c r="K185" i="14"/>
  <c r="H185" i="14"/>
  <c r="I185" i="14"/>
  <c r="L184" i="14"/>
  <c r="K184" i="14"/>
  <c r="I184" i="14"/>
  <c r="H184" i="14"/>
  <c r="L183" i="14"/>
  <c r="I183" i="14"/>
  <c r="H183" i="14"/>
  <c r="K183" i="14"/>
  <c r="L182" i="14"/>
  <c r="K182" i="14"/>
  <c r="I182" i="14"/>
  <c r="H182" i="14"/>
  <c r="L181" i="14"/>
  <c r="K181" i="14"/>
  <c r="H181" i="14"/>
  <c r="I181" i="14"/>
  <c r="L180" i="14"/>
  <c r="K180" i="14"/>
  <c r="I180" i="14"/>
  <c r="H180" i="14"/>
  <c r="L179" i="14"/>
  <c r="H179" i="14"/>
  <c r="K179" i="14"/>
  <c r="L178" i="14"/>
  <c r="K178" i="14"/>
  <c r="I178" i="14"/>
  <c r="H178" i="14"/>
  <c r="L177" i="14"/>
  <c r="K177" i="14"/>
  <c r="H177" i="14"/>
  <c r="I177" i="14"/>
  <c r="L176" i="14"/>
  <c r="K176" i="14"/>
  <c r="I176" i="14"/>
  <c r="H176" i="14"/>
  <c r="L175" i="14"/>
  <c r="I175" i="14"/>
  <c r="H175" i="14"/>
  <c r="K175" i="14"/>
  <c r="L174" i="14"/>
  <c r="K174" i="14"/>
  <c r="I174" i="14"/>
  <c r="H174" i="14"/>
  <c r="L173" i="14"/>
  <c r="K173" i="14"/>
  <c r="I173" i="14"/>
  <c r="H173" i="14"/>
  <c r="L172" i="14"/>
  <c r="K172" i="14"/>
  <c r="I172" i="14"/>
  <c r="H172" i="14"/>
  <c r="L171" i="14"/>
  <c r="K171" i="14"/>
  <c r="I171" i="14"/>
  <c r="H171" i="14"/>
  <c r="L170" i="14"/>
  <c r="K170" i="14"/>
  <c r="I170" i="14"/>
  <c r="H170" i="14"/>
  <c r="L169" i="14"/>
  <c r="K169" i="14"/>
  <c r="I169" i="14"/>
  <c r="H169" i="14"/>
  <c r="L168" i="14"/>
  <c r="K168" i="14"/>
  <c r="I168" i="14"/>
  <c r="H168" i="14"/>
  <c r="L167" i="14"/>
  <c r="K167" i="14"/>
  <c r="I167" i="14"/>
  <c r="H167" i="14"/>
  <c r="L166" i="14"/>
  <c r="K166" i="14"/>
  <c r="I166" i="14"/>
  <c r="H166" i="14"/>
  <c r="L165" i="14"/>
  <c r="K165" i="14"/>
  <c r="I165" i="14"/>
  <c r="H165" i="14"/>
  <c r="L164" i="14"/>
  <c r="K164" i="14"/>
  <c r="I164" i="14"/>
  <c r="H164" i="14"/>
  <c r="L163" i="14"/>
  <c r="K163" i="14"/>
  <c r="I163" i="14"/>
  <c r="H163" i="14"/>
  <c r="L162" i="14"/>
  <c r="L161" i="14"/>
  <c r="K161" i="14"/>
  <c r="I161" i="14"/>
  <c r="H161" i="14"/>
  <c r="L160" i="14"/>
  <c r="K160" i="14"/>
  <c r="I160" i="14"/>
  <c r="H160" i="14"/>
  <c r="L159" i="14"/>
  <c r="K159" i="14"/>
  <c r="I159" i="14"/>
  <c r="H159" i="14"/>
  <c r="L158" i="14"/>
  <c r="K158" i="14"/>
  <c r="I158" i="14"/>
  <c r="H158" i="14"/>
  <c r="L157" i="14"/>
  <c r="K157" i="14"/>
  <c r="I157" i="14"/>
  <c r="H157" i="14"/>
  <c r="L156" i="14"/>
  <c r="K156" i="14"/>
  <c r="I156" i="14"/>
  <c r="H156" i="14"/>
  <c r="L155" i="14"/>
  <c r="K155" i="14"/>
  <c r="I155" i="14"/>
  <c r="H155" i="14"/>
  <c r="L154" i="14"/>
  <c r="K154" i="14"/>
  <c r="I154" i="14"/>
  <c r="H154" i="14"/>
  <c r="L153" i="14"/>
  <c r="K153" i="14"/>
  <c r="I153" i="14"/>
  <c r="H153" i="14"/>
  <c r="L152" i="14"/>
  <c r="K152" i="14"/>
  <c r="I152" i="14"/>
  <c r="H152" i="14"/>
  <c r="L151" i="14"/>
  <c r="K151" i="14"/>
  <c r="I151" i="14"/>
  <c r="H151" i="14"/>
  <c r="L150" i="14"/>
  <c r="K150" i="14"/>
  <c r="I150" i="14"/>
  <c r="H150" i="14"/>
  <c r="L149" i="14"/>
  <c r="K149" i="14"/>
  <c r="I149" i="14"/>
  <c r="H149" i="14"/>
  <c r="L148" i="14"/>
  <c r="K148" i="14"/>
  <c r="I148" i="14"/>
  <c r="H148" i="14"/>
  <c r="L147" i="14"/>
  <c r="K147" i="14"/>
  <c r="I147" i="14"/>
  <c r="H147" i="14"/>
  <c r="L146" i="14"/>
  <c r="K146" i="14"/>
  <c r="I146" i="14"/>
  <c r="H146" i="14"/>
  <c r="L145" i="14"/>
  <c r="K145" i="14"/>
  <c r="I145" i="14"/>
  <c r="H145" i="14"/>
  <c r="L144" i="14"/>
  <c r="K144" i="14"/>
  <c r="I144" i="14"/>
  <c r="H144" i="14"/>
  <c r="L143" i="14"/>
  <c r="K143" i="14"/>
  <c r="I143" i="14"/>
  <c r="H143" i="14"/>
  <c r="L142" i="14"/>
  <c r="K142" i="14"/>
  <c r="I142" i="14"/>
  <c r="H142" i="14"/>
  <c r="L141" i="14"/>
  <c r="K141" i="14"/>
  <c r="H141" i="14"/>
  <c r="I141" i="14"/>
  <c r="L140" i="14"/>
  <c r="K140" i="14"/>
  <c r="I140" i="14"/>
  <c r="H140" i="14"/>
  <c r="L139" i="14"/>
  <c r="H139" i="14"/>
  <c r="K139" i="14"/>
  <c r="L138" i="14"/>
  <c r="K138" i="14"/>
  <c r="I138" i="14"/>
  <c r="H138" i="14"/>
  <c r="L137" i="14"/>
  <c r="H137" i="14"/>
  <c r="K137" i="14"/>
  <c r="L136" i="14"/>
  <c r="K136" i="14"/>
  <c r="I136" i="14"/>
  <c r="H136" i="14"/>
  <c r="L135" i="14"/>
  <c r="I135" i="14"/>
  <c r="H135" i="14"/>
  <c r="K135" i="14"/>
  <c r="L134" i="14"/>
  <c r="K134" i="14"/>
  <c r="I134" i="14"/>
  <c r="H134" i="14"/>
  <c r="L133" i="14"/>
  <c r="K133" i="14"/>
  <c r="I133" i="14"/>
  <c r="H133" i="14"/>
  <c r="L132" i="14"/>
  <c r="K132" i="14"/>
  <c r="I132" i="14"/>
  <c r="H132" i="14"/>
  <c r="L131" i="14"/>
  <c r="K131" i="14"/>
  <c r="I131" i="14"/>
  <c r="H131" i="14"/>
  <c r="L130" i="14"/>
  <c r="K130" i="14"/>
  <c r="I130" i="14"/>
  <c r="H130" i="14"/>
  <c r="L129" i="14"/>
  <c r="K129" i="14"/>
  <c r="I129" i="14"/>
  <c r="H129" i="14"/>
  <c r="L128" i="14"/>
  <c r="K128" i="14"/>
  <c r="I128" i="14"/>
  <c r="H128" i="14"/>
  <c r="L127" i="14"/>
  <c r="K127" i="14"/>
  <c r="I127" i="14"/>
  <c r="H127" i="14"/>
  <c r="L126" i="14"/>
  <c r="K126" i="14"/>
  <c r="I126" i="14"/>
  <c r="H126" i="14"/>
  <c r="L125" i="14"/>
  <c r="K125" i="14"/>
  <c r="I125" i="14"/>
  <c r="H125" i="14"/>
  <c r="L124" i="14"/>
  <c r="K124" i="14"/>
  <c r="I124" i="14"/>
  <c r="H124" i="14"/>
  <c r="L123" i="14"/>
  <c r="K123" i="14"/>
  <c r="I123" i="14"/>
  <c r="H123" i="14"/>
  <c r="L122" i="14"/>
  <c r="K122" i="14"/>
  <c r="I122" i="14"/>
  <c r="H122" i="14"/>
  <c r="L121" i="14"/>
  <c r="K121" i="14"/>
  <c r="I121" i="14"/>
  <c r="H121" i="14"/>
  <c r="L119" i="14"/>
  <c r="K119" i="14"/>
  <c r="I119" i="14"/>
  <c r="H119" i="14"/>
  <c r="L118" i="14"/>
  <c r="K118" i="14"/>
  <c r="I118" i="14"/>
  <c r="H118" i="14"/>
  <c r="L117" i="14"/>
  <c r="K117" i="14"/>
  <c r="I117" i="14"/>
  <c r="H117" i="14"/>
  <c r="L116" i="14"/>
  <c r="K116" i="14"/>
  <c r="I116" i="14"/>
  <c r="H116" i="14"/>
  <c r="L115" i="14"/>
  <c r="K115" i="14"/>
  <c r="I115" i="14"/>
  <c r="H115" i="14"/>
  <c r="L114" i="14"/>
  <c r="K114" i="14"/>
  <c r="I114" i="14"/>
  <c r="H114" i="14"/>
  <c r="L113" i="14"/>
  <c r="K113" i="14"/>
  <c r="I113" i="14"/>
  <c r="H113" i="14"/>
  <c r="L112" i="14"/>
  <c r="K112" i="14"/>
  <c r="I112" i="14"/>
  <c r="H112" i="14"/>
  <c r="L111" i="14"/>
  <c r="K111" i="14"/>
  <c r="I111" i="14"/>
  <c r="H111" i="14"/>
  <c r="L110" i="14"/>
  <c r="K110" i="14"/>
  <c r="I110" i="14"/>
  <c r="H110" i="14"/>
  <c r="L109" i="14"/>
  <c r="K109" i="14"/>
  <c r="I109" i="14"/>
  <c r="H109" i="14"/>
  <c r="L108" i="14"/>
  <c r="K108" i="14"/>
  <c r="L104" i="14"/>
  <c r="K104" i="14"/>
  <c r="I104" i="14"/>
  <c r="H104" i="14"/>
  <c r="L103" i="14"/>
  <c r="K103" i="14"/>
  <c r="I103" i="14"/>
  <c r="H103" i="14"/>
  <c r="L102" i="14"/>
  <c r="K102" i="14"/>
  <c r="I102" i="14"/>
  <c r="H102" i="14"/>
  <c r="L101" i="14"/>
  <c r="K101" i="14"/>
  <c r="I101" i="14"/>
  <c r="H101" i="14"/>
  <c r="L100" i="14"/>
  <c r="K100" i="14"/>
  <c r="I100" i="14"/>
  <c r="H100" i="14"/>
  <c r="L99" i="14"/>
  <c r="K99" i="14"/>
  <c r="I99" i="14"/>
  <c r="H99" i="14"/>
  <c r="L98" i="14"/>
  <c r="K98" i="14"/>
  <c r="I98" i="14"/>
  <c r="H98" i="14"/>
  <c r="L97" i="14"/>
  <c r="L96" i="14"/>
  <c r="L95" i="14"/>
  <c r="L94" i="14"/>
  <c r="L92" i="14"/>
  <c r="H92" i="14"/>
  <c r="L91" i="14"/>
  <c r="K91" i="14"/>
  <c r="I91" i="14"/>
  <c r="H91" i="14"/>
  <c r="L90" i="14"/>
  <c r="K90" i="14"/>
  <c r="I90" i="14"/>
  <c r="H90" i="14"/>
  <c r="L87" i="14"/>
  <c r="K87" i="14"/>
  <c r="I87" i="14"/>
  <c r="H87" i="14"/>
  <c r="L85" i="14"/>
  <c r="K85" i="14"/>
  <c r="I85" i="14"/>
  <c r="H85" i="14"/>
  <c r="L84" i="14"/>
  <c r="K84" i="14"/>
  <c r="I84" i="14"/>
  <c r="H84" i="14"/>
  <c r="L83" i="14"/>
  <c r="K83" i="14"/>
  <c r="I83" i="14"/>
  <c r="H83" i="14"/>
  <c r="L82" i="14"/>
  <c r="K82" i="14"/>
  <c r="I82" i="14"/>
  <c r="H82" i="14"/>
  <c r="L81" i="14"/>
  <c r="K81" i="14"/>
  <c r="I81" i="14"/>
  <c r="H81" i="14"/>
  <c r="L80" i="14"/>
  <c r="K80" i="14"/>
  <c r="I80" i="14"/>
  <c r="H80" i="14"/>
  <c r="L78" i="14"/>
  <c r="K78" i="14"/>
  <c r="I78" i="14"/>
  <c r="H78" i="14"/>
  <c r="L77" i="14"/>
  <c r="K77" i="14"/>
  <c r="I77" i="14"/>
  <c r="H77" i="14"/>
  <c r="L76" i="14"/>
  <c r="K76" i="14"/>
  <c r="I76" i="14"/>
  <c r="H76" i="14"/>
  <c r="L75" i="14"/>
  <c r="K75" i="14"/>
  <c r="I75" i="14"/>
  <c r="H75" i="14"/>
  <c r="L74" i="14"/>
  <c r="K74" i="14"/>
  <c r="I74" i="14"/>
  <c r="H74" i="14"/>
  <c r="L73" i="14"/>
  <c r="K73" i="14"/>
  <c r="I73" i="14"/>
  <c r="H73" i="14"/>
  <c r="L66" i="14"/>
  <c r="K66" i="14"/>
  <c r="I66" i="14"/>
  <c r="H66" i="14"/>
  <c r="L65" i="14"/>
  <c r="K65" i="14"/>
  <c r="I65" i="14"/>
  <c r="H65" i="14"/>
  <c r="L64" i="14"/>
  <c r="K64" i="14"/>
  <c r="I64" i="14"/>
  <c r="H64" i="14"/>
  <c r="L63" i="14"/>
  <c r="K63" i="14"/>
  <c r="I63" i="14"/>
  <c r="H63" i="14"/>
  <c r="L62" i="14"/>
  <c r="K62" i="14"/>
  <c r="I62" i="14"/>
  <c r="H62" i="14"/>
  <c r="L61" i="14"/>
  <c r="L60" i="14"/>
  <c r="K60" i="14"/>
  <c r="I60" i="14"/>
  <c r="H60" i="14"/>
  <c r="L59" i="14"/>
  <c r="K59" i="14"/>
  <c r="I59" i="14"/>
  <c r="H59" i="14"/>
  <c r="L58" i="14"/>
  <c r="L57" i="14"/>
  <c r="H57" i="14"/>
  <c r="L56" i="14"/>
  <c r="K56" i="14"/>
  <c r="I56" i="14"/>
  <c r="H56" i="14"/>
  <c r="L53" i="14"/>
  <c r="K53" i="14"/>
  <c r="I53" i="14"/>
  <c r="H53" i="14"/>
  <c r="L52" i="14"/>
  <c r="K52" i="14"/>
  <c r="I52" i="14"/>
  <c r="H52" i="14"/>
  <c r="L51" i="14"/>
  <c r="K51" i="14"/>
  <c r="I51" i="14"/>
  <c r="H51" i="14"/>
  <c r="L50" i="14"/>
  <c r="K50" i="14"/>
  <c r="I50" i="14"/>
  <c r="H50" i="14"/>
  <c r="L49" i="14"/>
  <c r="K49" i="14"/>
  <c r="I49" i="14"/>
  <c r="H49" i="14"/>
  <c r="L48" i="14"/>
  <c r="K48" i="14"/>
  <c r="I48" i="14"/>
  <c r="H48" i="14"/>
  <c r="L47" i="14"/>
  <c r="K47" i="14"/>
  <c r="I47" i="14"/>
  <c r="H47" i="14"/>
  <c r="L46" i="14"/>
  <c r="K46" i="14"/>
  <c r="I46" i="14"/>
  <c r="H46" i="14"/>
  <c r="L45" i="14"/>
  <c r="K45" i="14"/>
  <c r="I45" i="14"/>
  <c r="H45" i="14"/>
  <c r="L44" i="14"/>
  <c r="K44" i="14"/>
  <c r="I44" i="14"/>
  <c r="H44" i="14"/>
  <c r="L43" i="14"/>
  <c r="K43" i="14"/>
  <c r="I43" i="14"/>
  <c r="L42" i="14"/>
  <c r="K42" i="14"/>
  <c r="I42" i="14"/>
  <c r="H42" i="14"/>
  <c r="L41" i="14"/>
  <c r="K41" i="14"/>
  <c r="I41" i="14"/>
  <c r="H41" i="14"/>
  <c r="L28" i="14"/>
  <c r="K28" i="14"/>
  <c r="I28" i="14"/>
  <c r="H28" i="14"/>
  <c r="L27" i="14"/>
  <c r="K27" i="14"/>
  <c r="I27" i="14"/>
  <c r="H27" i="14"/>
  <c r="L26" i="14"/>
  <c r="K26" i="14"/>
  <c r="I26" i="14"/>
  <c r="H26" i="14"/>
  <c r="L25" i="14"/>
  <c r="K25" i="14"/>
  <c r="I25" i="14"/>
  <c r="H25" i="14"/>
  <c r="L20" i="14"/>
  <c r="H20" i="14"/>
  <c r="L19" i="14"/>
  <c r="I19" i="14"/>
  <c r="L18" i="14"/>
  <c r="H18" i="14"/>
  <c r="L17" i="14"/>
  <c r="I17" i="14"/>
  <c r="L16" i="14"/>
  <c r="H16" i="14"/>
  <c r="L15" i="14"/>
  <c r="I15" i="14"/>
  <c r="I10" i="14"/>
  <c r="L9" i="14"/>
  <c r="K9" i="14"/>
  <c r="H9" i="14"/>
  <c r="L8" i="14"/>
  <c r="H10" i="14"/>
  <c r="C95" i="12"/>
  <c r="C94" i="12" s="1"/>
  <c r="C91" i="12"/>
  <c r="D235" i="14" s="1"/>
  <c r="C90" i="12"/>
  <c r="D236" i="14" s="1"/>
  <c r="C88" i="12"/>
  <c r="D239" i="14" s="1"/>
  <c r="C73" i="12"/>
  <c r="E97" i="14" s="1"/>
  <c r="C70" i="12"/>
  <c r="E94" i="14" s="1"/>
  <c r="B64" i="12"/>
  <c r="B63" i="12"/>
  <c r="B62" i="12"/>
  <c r="B61" i="12"/>
  <c r="B56" i="12"/>
  <c r="B68" i="12" s="1"/>
  <c r="B55" i="12"/>
  <c r="B67" i="12" s="1"/>
  <c r="B54" i="12"/>
  <c r="B66" i="12" s="1"/>
  <c r="B53" i="12"/>
  <c r="B65" i="12" s="1"/>
  <c r="B35" i="12"/>
  <c r="B34" i="12"/>
  <c r="B33" i="12"/>
  <c r="B32" i="12"/>
  <c r="B31" i="12"/>
  <c r="B30" i="12"/>
  <c r="B29" i="12"/>
  <c r="B28" i="12"/>
  <c r="B27" i="12"/>
  <c r="B26" i="12"/>
  <c r="B25" i="12"/>
  <c r="B24" i="12"/>
  <c r="C14" i="12"/>
  <c r="E92" i="14" l="1"/>
  <c r="E287" i="14"/>
  <c r="C36" i="12"/>
  <c r="I162" i="14"/>
  <c r="H61" i="14"/>
  <c r="I95" i="14"/>
  <c r="I96" i="14"/>
  <c r="E236" i="14"/>
  <c r="I236" i="14" s="1"/>
  <c r="E235" i="14"/>
  <c r="I235" i="14" s="1"/>
  <c r="E231" i="14"/>
  <c r="I231" i="14" s="1"/>
  <c r="E239" i="14"/>
  <c r="I239" i="14" s="1"/>
  <c r="H226" i="14"/>
  <c r="I94" i="14"/>
  <c r="I97" i="14"/>
  <c r="I228" i="14"/>
  <c r="H281" i="14"/>
  <c r="H288" i="14"/>
  <c r="I281" i="14"/>
  <c r="H311" i="14"/>
  <c r="I311" i="14"/>
  <c r="K226" i="14"/>
  <c r="K57" i="14"/>
  <c r="H293" i="14"/>
  <c r="J305" i="14"/>
  <c r="C87" i="12"/>
  <c r="D238" i="14" s="1"/>
  <c r="I57" i="14"/>
  <c r="D58" i="14"/>
  <c r="C97" i="12"/>
  <c r="J10" i="14"/>
  <c r="J301" i="14"/>
  <c r="I137" i="14"/>
  <c r="I139" i="14"/>
  <c r="I179" i="14"/>
  <c r="J281" i="14" l="1"/>
  <c r="K97" i="14"/>
  <c r="H94" i="14"/>
  <c r="H231" i="14"/>
  <c r="H239" i="14"/>
  <c r="K239" i="14"/>
  <c r="K236" i="14"/>
  <c r="H97" i="14"/>
  <c r="K94" i="14"/>
  <c r="K231" i="14"/>
  <c r="H96" i="14"/>
  <c r="K228" i="14"/>
  <c r="E238" i="14"/>
  <c r="I238" i="14" s="1"/>
  <c r="I225" i="14"/>
  <c r="K287" i="14"/>
  <c r="H95" i="14"/>
  <c r="K95" i="14"/>
  <c r="K235" i="14"/>
  <c r="H228" i="14"/>
  <c r="H235" i="14"/>
  <c r="K96" i="14"/>
  <c r="H236" i="14"/>
  <c r="J311" i="14"/>
  <c r="H58" i="14"/>
  <c r="K162" i="14"/>
  <c r="K17" i="14"/>
  <c r="H17" i="14"/>
  <c r="H162" i="14"/>
  <c r="H206" i="14" s="1"/>
  <c r="I61" i="14"/>
  <c r="K61" i="14"/>
  <c r="I206" i="14"/>
  <c r="M206" i="14" s="1"/>
  <c r="C100" i="12"/>
  <c r="C98" i="12"/>
  <c r="I18" i="14"/>
  <c r="K18" i="14"/>
  <c r="C101" i="12" l="1"/>
  <c r="E291" i="14"/>
  <c r="K291" i="14" s="1"/>
  <c r="H225" i="14"/>
  <c r="K238" i="14"/>
  <c r="K286" i="14"/>
  <c r="I242" i="14"/>
  <c r="I287" i="14"/>
  <c r="H238" i="14"/>
  <c r="I92" i="14"/>
  <c r="I20" i="14"/>
  <c r="K16" i="14"/>
  <c r="K225" i="14"/>
  <c r="J206" i="14"/>
  <c r="I16" i="14"/>
  <c r="K20" i="14"/>
  <c r="I58" i="14"/>
  <c r="K58" i="14"/>
  <c r="I291" i="14" l="1"/>
  <c r="I293" i="14" s="1"/>
  <c r="J293" i="14" s="1"/>
  <c r="E296" i="14"/>
  <c r="K296" i="14" s="1"/>
  <c r="H242" i="14"/>
  <c r="J242" i="14" s="1"/>
  <c r="I286" i="14"/>
  <c r="I288" i="14" s="1"/>
  <c r="J288" i="14" s="1"/>
  <c r="K92" i="14"/>
  <c r="K19" i="14"/>
  <c r="H19" i="14"/>
  <c r="K15" i="14"/>
  <c r="H15" i="14"/>
  <c r="I105" i="14"/>
  <c r="I296" i="14" l="1"/>
  <c r="I297" i="14" s="1"/>
  <c r="J297" i="14" s="1"/>
  <c r="H105" i="14"/>
  <c r="H323" i="14" s="1"/>
  <c r="I323" i="14" l="1"/>
  <c r="H324" i="14" s="1"/>
  <c r="H325" i="14" s="1"/>
  <c r="H326" i="14" s="1"/>
  <c r="J105" i="14"/>
</calcChain>
</file>

<file path=xl/sharedStrings.xml><?xml version="1.0" encoding="utf-8"?>
<sst xmlns="http://schemas.openxmlformats.org/spreadsheetml/2006/main" count="1603" uniqueCount="747">
  <si>
    <t>DISTRIBUSI - SUBFEEEDER</t>
  </si>
  <si>
    <t xml:space="preserve">AS PLAN </t>
  </si>
  <si>
    <t>BOQ GPON FTTH FOR OPTICAL DISTRIBUTION NETWORK (ODN)</t>
  </si>
  <si>
    <t>OLT Name</t>
  </si>
  <si>
    <t>Cluster</t>
  </si>
  <si>
    <t>Net Type</t>
  </si>
  <si>
    <t xml:space="preserve"> HP</t>
  </si>
  <si>
    <t>No</t>
  </si>
  <si>
    <t>Description/Item</t>
  </si>
  <si>
    <t>Unit</t>
  </si>
  <si>
    <t>Material Qty</t>
  </si>
  <si>
    <t>Service Qty</t>
  </si>
  <si>
    <t>Material Price</t>
  </si>
  <si>
    <t>Service Price</t>
  </si>
  <si>
    <t>Total Material Price</t>
  </si>
  <si>
    <t>Total Service Price</t>
  </si>
  <si>
    <t>Total Price</t>
  </si>
  <si>
    <t>Koreksi No Material</t>
  </si>
  <si>
    <t>No Material</t>
  </si>
  <si>
    <t>Short Text/Description SAP</t>
  </si>
  <si>
    <t>Remarks</t>
  </si>
  <si>
    <t>Service</t>
  </si>
  <si>
    <t>Pengamanan &amp; Persiapan</t>
  </si>
  <si>
    <t>ls</t>
  </si>
  <si>
    <t>Material</t>
  </si>
  <si>
    <t>Vendor</t>
  </si>
  <si>
    <t>Transportasi, Mobilisasi &amp; demobilisasi</t>
  </si>
  <si>
    <t>TRANSPORTASI, MOBILISASI DAN DEMOBILISASI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</si>
  <si>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</si>
  <si>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</si>
  <si>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</si>
  <si>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</si>
  <si>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</si>
  <si>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</si>
  <si>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FO TYPE SM G.652.D-ADSS 24 CORES</t>
  </si>
  <si>
    <t>Internal</t>
  </si>
  <si>
    <t>Instal FO core type SM G.652.D-ADSS 24 cores</t>
  </si>
  <si>
    <t>INSTAL FO TYPE SM G.652.D-ADSS 24 CORES</t>
  </si>
  <si>
    <t>FO core type SM G.652.D-ADSS 36 cores</t>
  </si>
  <si>
    <t>FO TYPE SM G.652.D-ADSS 36 CORES</t>
  </si>
  <si>
    <t>Instal FO core type SM G.652.D-ADSS 36 cores</t>
  </si>
  <si>
    <t>INSTAL FO TYPE SM G.652.D-ADSS 36 CORES</t>
  </si>
  <si>
    <t>FO core type SM G.652.D-ADSS 48 cores</t>
  </si>
  <si>
    <t>FO TYPE SM G.652.D-ADSS 48 CORES</t>
  </si>
  <si>
    <t>Instal FO core type SM G.652.D-ADSS 48 cores</t>
  </si>
  <si>
    <t>INSTAL FO TYPE SM G.652.D-ADSS 48 CORES</t>
  </si>
  <si>
    <t>FO core type SM G.652.D-ADSS 72 cores</t>
  </si>
  <si>
    <t>FO TYPE SM G.652.D-ADSS 72 CORES</t>
  </si>
  <si>
    <t>Instal FO core type SM G.652.D-ADSS 72 cores</t>
  </si>
  <si>
    <t>INSTAL FO TYPE SM G.652.D-ADSS 72 CORES</t>
  </si>
  <si>
    <t>FO core type SM G.652.D-ADSS 96 cores</t>
  </si>
  <si>
    <t>FO TYPE SM G.652.D-ADSS 96 CORES</t>
  </si>
  <si>
    <t>Instal FO core type SM G.652.D-ADSS 96 cores</t>
  </si>
  <si>
    <t>INSTAL FO TYPE SM G.652.D-ADSS 96 CORES</t>
  </si>
  <si>
    <t>FO core  type SM G.652.D-ADSS 144 cores</t>
  </si>
  <si>
    <t>FO TYPE SM G.652.D-ADSS 144 CORES</t>
  </si>
  <si>
    <t>Instal FO core type SM G.652.D-ADSS 144 cores</t>
  </si>
  <si>
    <t>INSTAL FO TYPE SM G.652.D-ADSS 144 CORES</t>
  </si>
  <si>
    <t>FO core type SM G.652.D-ADSS 288 cores</t>
  </si>
  <si>
    <t>FO TYPE SM G.652.D-ADSS 288 CORES</t>
  </si>
  <si>
    <t>Instal  FO core type SM G.652.D-ADSS 288 cores</t>
  </si>
  <si>
    <t>INSTAL FO TYPE SM G.652.D-ADSS 288 CORES</t>
  </si>
  <si>
    <t>B</t>
  </si>
  <si>
    <t>Fiber Distribution Terminal (FDT) SC/APC c/w Box, matrix terminal, Patchtray, Pigtail, label &amp; accessories include concrete base</t>
  </si>
  <si>
    <t>48 cores capacity pole mounted FDT</t>
  </si>
  <si>
    <t>set</t>
  </si>
  <si>
    <t>48 CORES CAPACITY POLE MOUNTED FDT</t>
  </si>
  <si>
    <t>Instal 48 cores capacity pole mounted FDT</t>
  </si>
  <si>
    <t>INSTAL 48 CORES CAPACITY POLE FDT</t>
  </si>
  <si>
    <t>72 cores capacity pole mounted FDT</t>
  </si>
  <si>
    <t>72 CORES CAPACITY POLE MOUNTED FDT</t>
  </si>
  <si>
    <t>Instal 72 cores capacity pole mounted FDT</t>
  </si>
  <si>
    <t>INSTAL 72 CORES CAPACITY POLE FDT</t>
  </si>
  <si>
    <t>96 cores capacity pole mounted FDT</t>
  </si>
  <si>
    <t>96 CORES CAPACITY POLE MOUNTED FDT</t>
  </si>
  <si>
    <t>Instal 96 cores capacity pole mounted FDT</t>
  </si>
  <si>
    <t>INSTAL 96 CORES CAPACITY POLE FDT</t>
  </si>
  <si>
    <t>144 cores capacity ground mounted FDT</t>
  </si>
  <si>
    <t>144 CORES CAPACITY GROUND MOUNTED FDT</t>
  </si>
  <si>
    <t>Instal 144 cores capacity pole mounted FDT</t>
  </si>
  <si>
    <t>INSTAL 144 CORES CAPACITY POLE FDT</t>
  </si>
  <si>
    <t>288 cores capacity ground mounted FDT</t>
  </si>
  <si>
    <t>288 CORES CAPACITY GROUND MOUNTED FDT</t>
  </si>
  <si>
    <t>Instal 288 cores capacity pole mounted FDT</t>
  </si>
  <si>
    <t>INSTAL 288 CORES CAPACITY POLE FDT</t>
  </si>
  <si>
    <t>576 cores capacity ground mounted FDT</t>
  </si>
  <si>
    <t>576 CORES CAPACITY GROUND MOUNTED FDT</t>
  </si>
  <si>
    <t>Instal 576 cores capacity pole mounted FDT</t>
  </si>
  <si>
    <t>INSTAL 576 CORES CAPACITY POLE FDT</t>
  </si>
  <si>
    <t>C</t>
  </si>
  <si>
    <t>Optical Splitter (Bracket Mount Type, SC/APC)</t>
  </si>
  <si>
    <t>Splitter 1:4</t>
  </si>
  <si>
    <t>unit</t>
  </si>
  <si>
    <t>OPTIC SPLITTER 1:4 WITH SC/APC PIGTAILS</t>
  </si>
  <si>
    <t>Splitter 1:8 (Modular)</t>
  </si>
  <si>
    <t>SPLITTER 1:8</t>
  </si>
  <si>
    <t>D</t>
  </si>
  <si>
    <t>Micro Splitter (PLC Type)</t>
  </si>
  <si>
    <t>Micro Splitter 1:4</t>
  </si>
  <si>
    <t>MICRO SPLITTER PLC TYPE 1:4</t>
  </si>
  <si>
    <t>Micro Splitter 1:8</t>
  </si>
  <si>
    <t>MICRO SPLITTER PLC TYPE 1:8</t>
  </si>
  <si>
    <t>E</t>
  </si>
  <si>
    <t xml:space="preserve">Fiber Access Terminal (FAT) c/w adapter, pigtail SC/APC, label &amp; accessories </t>
  </si>
  <si>
    <t>Pole mounted outdoor type (16 ports type)</t>
  </si>
  <si>
    <t>FAT POLE MOUNTED TYPE (16 PORTS)</t>
  </si>
  <si>
    <t>INSTAL FAT POLE MOUNTED TYPE (16 PORTS)</t>
  </si>
  <si>
    <t>Pedestal ground mounted type (16 ports type)</t>
  </si>
  <si>
    <t>PEDESTAL MOUNTED TYPE (16 PORTS)</t>
  </si>
  <si>
    <t>Instal Ground mounted outdoor type (16 ports type)</t>
  </si>
  <si>
    <t>F</t>
  </si>
  <si>
    <t>Underground Pedestal SPH920 Signature Series Type include accessories &amp; concrete base</t>
  </si>
  <si>
    <t>PEDESTAL</t>
  </si>
  <si>
    <t>Instal Underground Pedestal SPH920 Signature Series Type include accessories &amp; concrete base</t>
  </si>
  <si>
    <t>Instal PEDESTAL</t>
  </si>
  <si>
    <t>G</t>
  </si>
  <si>
    <t>Joint Closure</t>
  </si>
  <si>
    <t>Fiber Optic Joint Closure Type In-line 24 Core</t>
  </si>
  <si>
    <t>FO JOINT CLOSURE TYPE IN-LINE 24 CORE</t>
  </si>
  <si>
    <t>Fiber Optic Joint Closure Type In-line 36 Core</t>
  </si>
  <si>
    <t>FO JOINT CLOSURE TYPE INLINE 36C</t>
  </si>
  <si>
    <t>Fiber Optic Joint Closure Type In-line 48 Core</t>
  </si>
  <si>
    <t>FO JOINT CLOSURE TYPE IN-LINE 48 CORE</t>
  </si>
  <si>
    <t>Fiber Optic Joint Closure Type In-line 72 Core</t>
  </si>
  <si>
    <t>-</t>
  </si>
  <si>
    <t>FO JOINT CLOSURE TYPE IN-LINE 72 CORE</t>
  </si>
  <si>
    <t>Fiber Optic Joint Closure Type In-line 96 Core</t>
  </si>
  <si>
    <t>FO JOINT CLOSURE TYPE IN-LINE 96 CORE</t>
  </si>
  <si>
    <t>Fiber Optic Joint Closure Type In-line 144 Core</t>
  </si>
  <si>
    <t>FO JOINT CLOSURE TYPE IN-LINE 144 CORE</t>
  </si>
  <si>
    <t>Fiber Optic Joint Closure Type Inline 288 Core</t>
  </si>
  <si>
    <t>FO JOINT CLOSURE TYPE IN-LINE 288 CORE</t>
  </si>
  <si>
    <t>Fiber Optic Joint Closure Type Dome 24 Core</t>
  </si>
  <si>
    <t>FO JOINT CLOSURE TYPE DOME 24 CORE</t>
  </si>
  <si>
    <t>Fiber Optic Joint Closure Type Dome 36 Core</t>
  </si>
  <si>
    <t>FO JOINT CLOSURE TYPE DOME 36C</t>
  </si>
  <si>
    <t>Fiber Optic Joint Closure Type Dome 48 Core</t>
  </si>
  <si>
    <t>FO JOINT CLOSURE TYPE DOME 48 CORE</t>
  </si>
  <si>
    <t>Fiber Optic Joint Closure Type Dome 72 Core</t>
  </si>
  <si>
    <t>FO JOINT CLOSURE TYPE DOME 72 CORE</t>
  </si>
  <si>
    <t>Fiber Optic Joint Closure Type Dome 96 Core</t>
  </si>
  <si>
    <t>FO JOINT CLOSURE TYPE DOME 96 CORE</t>
  </si>
  <si>
    <t>Fiber Optic Joint Closure Type Dome 144 Core</t>
  </si>
  <si>
    <t>FO JOINT CLOSURE TYPE DOME 144 CORE</t>
  </si>
  <si>
    <t>Fiber Optic Joint Closure Type Dome 288 Core</t>
  </si>
  <si>
    <t>FO JOINT CLOSURE TYPE DOME 288 CORE</t>
  </si>
  <si>
    <t>H</t>
  </si>
  <si>
    <t>Pigtail SM SC/APC</t>
  </si>
  <si>
    <t>pcs</t>
  </si>
  <si>
    <t>PIGTAIL - SC/APC SM 1.5M</t>
  </si>
  <si>
    <t>U</t>
  </si>
  <si>
    <t>Connector SC/APC</t>
  </si>
  <si>
    <t>CONNECTOR SC/APC</t>
  </si>
  <si>
    <t>J</t>
  </si>
  <si>
    <t>Splicing</t>
  </si>
  <si>
    <t>core</t>
  </si>
  <si>
    <t>SPLICING FO</t>
  </si>
  <si>
    <t>Protector Sleeve</t>
  </si>
  <si>
    <t>untuk HRB</t>
  </si>
  <si>
    <t>K</t>
  </si>
  <si>
    <t>Label Cable (on pole, in Handhole)</t>
  </si>
  <si>
    <t>LABEL KABEL</t>
  </si>
  <si>
    <t>L</t>
  </si>
  <si>
    <t>Label FDT</t>
  </si>
  <si>
    <t>LABEL FDT</t>
  </si>
  <si>
    <t>M</t>
  </si>
  <si>
    <t>Label FAT (include QR Code)</t>
  </si>
  <si>
    <t>LABEL FAT</t>
  </si>
  <si>
    <t>N</t>
  </si>
  <si>
    <t>Label Pole</t>
  </si>
  <si>
    <t>JASA PENGECETAN &amp; LABEL TIANG BESERTA MA</t>
  </si>
  <si>
    <t>O</t>
  </si>
  <si>
    <t>Label Pedestal</t>
  </si>
  <si>
    <t>LABEL PEDESTAL</t>
  </si>
  <si>
    <t>P</t>
  </si>
  <si>
    <t>Bridge and River crossing</t>
  </si>
  <si>
    <t>River crossing by self support</t>
  </si>
  <si>
    <t>RIVER CROSSING BY SELF SUPPORT</t>
  </si>
  <si>
    <t>River crossing by attach to existing bridge</t>
  </si>
  <si>
    <t>RIVER CROSSING BY ATTACH TO BRIDGE</t>
  </si>
  <si>
    <t>River crossing by 7m single pole hanging bridge</t>
  </si>
  <si>
    <t>INSTAL RIVER CROSSING BY 7M SINGLE POLE</t>
  </si>
  <si>
    <t>River crossing by 9m single pole hanging bridge</t>
  </si>
  <si>
    <t>INSTAL RIVER CROSSING BY 9M SINGLE POLE</t>
  </si>
  <si>
    <t>River crossing by 9m double pole hanging bridge</t>
  </si>
  <si>
    <t>INSTAL RIVER CROSSING BY 9M DOUBLE POLE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</si>
  <si>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</si>
  <si>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</si>
  <si>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</si>
  <si>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</si>
  <si>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150CM DEPTH</t>
  </si>
  <si>
    <t>Pekerjaan Trenching 30-80 cm depth (distribution inside cluster only)</t>
  </si>
  <si>
    <t>PEKERJAAN TRENCHING 30-80 CM DEPTH</t>
  </si>
  <si>
    <t>Pekerjaan Boring berikut rekondisi galian pit, Hotmix, Aspal, Makadam, Conblock, Beton Floor, Taman/rumput, Ubin</t>
  </si>
  <si>
    <t>Boring manual 150cm depth</t>
  </si>
  <si>
    <t>BORING MANUAL 150CM DEPTH</t>
  </si>
  <si>
    <t>Boring manual 2 Sub Duct 150cm depth</t>
  </si>
  <si>
    <t>BORING MANUAL 2 SUB DUCT 150CM DEPTH</t>
  </si>
  <si>
    <t>Boring manual 3 Sub Duct 150cm depth</t>
  </si>
  <si>
    <t>BORING MANUAL 3 SUB DUCT 150CM DEPTH</t>
  </si>
  <si>
    <t>Boring manual PVC/HDPE 4" 150cm depth</t>
  </si>
  <si>
    <t>BORING MANUAL PVC/HDPE 4" 150CM DEPTH</t>
  </si>
  <si>
    <t>Boring directional jalan raya</t>
  </si>
  <si>
    <t>PENGERJAAN BORING CROSSING JALAN RAYA</t>
  </si>
  <si>
    <t>Boring directional jalan tol</t>
  </si>
  <si>
    <t>BORING DIRECTIONAL JALAN TOL</t>
  </si>
  <si>
    <t>Boring rel kereta</t>
  </si>
  <si>
    <t>track/meter</t>
  </si>
  <si>
    <t>BORING KA</t>
  </si>
  <si>
    <t>Boring Mesin</t>
  </si>
  <si>
    <t>BORING Mesin</t>
  </si>
  <si>
    <t>Boring Manual 400 cm (Jalur KAI)</t>
  </si>
  <si>
    <t>BORING MANUAL  400 CM ( JALUR KAI )</t>
  </si>
  <si>
    <t>Pengadaan dan pemasangan pipa Duct pada jembatan dengan self support berpenguatan menggunakan Pipa besi Galv 1 pipa, bentang 6 - 12 meter</t>
  </si>
  <si>
    <t>PIPA DUCT JEMBATAN 1 PIPA BESI 6-12M</t>
  </si>
  <si>
    <t>untuk area Bandung, Makassar, Surabaya</t>
  </si>
  <si>
    <t>Pengadaan dan pemasangan pipa Duct pada jembatan dengan self support berpenguatan menggunakan Pipa besi Galv 2 pipa, bentang 6 - 12 meter</t>
  </si>
  <si>
    <t>PIPA DUCT JEMBATAN 2 PIPA BESI 6-12M</t>
  </si>
  <si>
    <t>Pengadaan dan pemasangan Pipa Duct dengan system gantung 1 tiang besi, bentang s/d 40 meter</t>
  </si>
  <si>
    <t>PIPA DUCT GANTUNG 1 TIANG BESI S/D 40M</t>
  </si>
  <si>
    <t>Pengadaan dan pemasangan Pipa Duct dengan system gantung 2 tiang besi, bentang s/d 100 meter</t>
  </si>
  <si>
    <t>PIPA DUCT GANTUNG 2 TIANG BESI S/D 40M</t>
  </si>
  <si>
    <t>Pengadaan dan Pemasangan 1 Subduct 50/42 pada polongan route Duct</t>
  </si>
  <si>
    <t>SUBDUCT 50/42 POLONGAN ROUTE DUCT</t>
  </si>
  <si>
    <t>pengadaan dan Pemasangan 1 Subduct 50/42 pada polongan route Duct, 2 pipa</t>
  </si>
  <si>
    <t>SUBDUCT 50/42 POLONGAN ROUTE DUCT 2 PIPA</t>
  </si>
  <si>
    <t>Pekerjaan Pembersihan pada route Duct yang kosong / Rodding Duct Existing.</t>
  </si>
  <si>
    <t>PEMBERSIHAN PADA ROUTE DUCT</t>
  </si>
  <si>
    <t>Pekerjaan Perbaikan Route Duct / HDPE, 1 pipa.</t>
  </si>
  <si>
    <t>PERBAIKAN ROUTE DUCT / HDPE, 1 PIPA</t>
  </si>
  <si>
    <t>Pekerjaan bobok dinding MH / HH termasuk perbaikan kembali</t>
  </si>
  <si>
    <t>BOBOK DINDING MH/HH</t>
  </si>
  <si>
    <t>Pengadaan galian batu masif kedalaman 1,5 meter, panjang minimum 5 m, termasuk pengadaan marking post</t>
  </si>
  <si>
    <t>GALIAN BATU 1,5M MIN 5M</t>
  </si>
  <si>
    <t>Pekerjaan galian pada permukaan jalan aspal dengan lebar galian 8 cm dan kedalaman 40 cm, termasuk pemetaan, pengurugan (backfilling) menggunakan concrete type K225 dan pengaspalan</t>
  </si>
  <si>
    <t>GALIAN ASPAL 8CMX40CM, CONCRET K225</t>
  </si>
  <si>
    <t>Pekerjaan Peninggian Tutup Manhole/Handhole</t>
  </si>
  <si>
    <t>PENINGGIAN TUTUP MH/HH</t>
  </si>
  <si>
    <t>Sub Duct / HDPE</t>
  </si>
  <si>
    <t xml:space="preserve">Sub Duct / HDPE 32/28 warna hitam, 3 strip ungu </t>
  </si>
  <si>
    <t>SUB DUCT/HDPE 32/26 HITAM, 3 STRIP UNGU</t>
  </si>
  <si>
    <t xml:space="preserve">Instal Sub Duct / HDPE 32/28 warna hitam, 3 strip ungu </t>
  </si>
  <si>
    <t>Jasa penarikan dan instalasi FO Undergro</t>
  </si>
  <si>
    <t>Socket HDPE 32/28</t>
  </si>
  <si>
    <t>SOCKET HDPE 32/26</t>
  </si>
  <si>
    <t>Instal Socket HDPE 32/28</t>
  </si>
  <si>
    <t>Sub Duct / HDPE 40/34 warna Ungu, 3 Strip Putih</t>
  </si>
  <si>
    <t>SUBDUCT HDPE 34/40 (UNGU STRIP PUTIH)</t>
  </si>
  <si>
    <t>Instal Sub Duct / HDPE 40/34 warna Ungu, 3 Strip Putih</t>
  </si>
  <si>
    <t>Socket HDPE 40/34</t>
  </si>
  <si>
    <t>SOCKET HDPE 40/34</t>
  </si>
  <si>
    <t>Instal Socket HDPE 40/34</t>
  </si>
  <si>
    <t>Galvanize pipe include shock and clamp</t>
  </si>
  <si>
    <t xml:space="preserve">Galvanize pipe (diameter 1 inch) </t>
  </si>
  <si>
    <t>GALVANIZED STEEL PIPE 1 1/4"</t>
  </si>
  <si>
    <t xml:space="preserve">Galvanize pipe (diameter 2 inch) </t>
  </si>
  <si>
    <t>GALVANIZED STEEL PIPE 2"</t>
  </si>
  <si>
    <t xml:space="preserve">Galvanize pipe (diameter 3 inch) </t>
  </si>
  <si>
    <t>GAVANIZE PIPE DIAMETER 3INCH</t>
  </si>
  <si>
    <t xml:space="preserve">Galvanize pipe (diameter 4 inch) </t>
  </si>
  <si>
    <t>GALVANIZED STEEL PIPE 4" (4 METER )</t>
  </si>
  <si>
    <t>PVC AW Pipe include shock and clamp</t>
  </si>
  <si>
    <t xml:space="preserve">PVC AW pipe (diameter 1 inch) </t>
  </si>
  <si>
    <t>PVC AW PIPE (DIAMETER 1 INCH)</t>
  </si>
  <si>
    <t xml:space="preserve">PVC AW pipe (diameter 2 inch) </t>
  </si>
  <si>
    <t>PVC AW PIPE (DIAMETER 2 INCH)</t>
  </si>
  <si>
    <t xml:space="preserve">PVC AW pipe (diameter 3 inch) </t>
  </si>
  <si>
    <t>PVC AW PIPE (DIAMETER 3 INCH)</t>
  </si>
  <si>
    <t xml:space="preserve">PVC AW pipe (diameter 4 inch) </t>
  </si>
  <si>
    <t>PVC AW PIPE (DIAMETER 4 INCH)</t>
  </si>
  <si>
    <t>Cable Duct Installation include accessories</t>
  </si>
  <si>
    <t>Cable Duct  TC-2</t>
  </si>
  <si>
    <t>CABLE DUCT TC-2</t>
  </si>
  <si>
    <t>Cable Duct  TC-3</t>
  </si>
  <si>
    <t>CABLE DUCT  TC-3</t>
  </si>
  <si>
    <t>Cable Duct  TC-4</t>
  </si>
  <si>
    <t>CABLE DUCT  TC-4</t>
  </si>
  <si>
    <t>Cable Duct  TC-5</t>
  </si>
  <si>
    <t>CABLE DUCT  TC-5</t>
  </si>
  <si>
    <t>Cable Duct  TC-6</t>
  </si>
  <si>
    <t>CABLE DUCT  TC-6</t>
  </si>
  <si>
    <t>Cable Duct  10 x 5 cm</t>
  </si>
  <si>
    <t>CABLE DUCT 10 X 5 CM</t>
  </si>
  <si>
    <t>Cable Duct  10 x 10 cm</t>
  </si>
  <si>
    <t>CABLE DUCT 10 X 10 CM</t>
  </si>
  <si>
    <t>Conduit, flexible dan aksesoris pipa</t>
  </si>
  <si>
    <t>Conduit pipe 3/4 inch</t>
  </si>
  <si>
    <t>CONDUIT PIPE 3/4 INCH</t>
  </si>
  <si>
    <t>Flexible 3/4 inch</t>
  </si>
  <si>
    <t>FLEXIBLE 3/4 INCH</t>
  </si>
  <si>
    <t>Shock Conduit Pipe 3/4 inch</t>
  </si>
  <si>
    <t>SHOCK CONDUIT PIPE 3/4 INCH</t>
  </si>
  <si>
    <t>Clamp for PVC Conduit support 3/4 inch</t>
  </si>
  <si>
    <t>CLAMP FOR PVC CONDUIT SUPPORT 3/4 INCH</t>
  </si>
  <si>
    <t>Steel Clamp dia 36 mm, width 25 mm, thickness 3 mm + dynabolt</t>
  </si>
  <si>
    <t>STEEL CLAMP DIA 36 MM, WIDTH 25 MM</t>
  </si>
  <si>
    <t>PVC Double Elbow 1.25"</t>
  </si>
  <si>
    <t>PVC DOUBLE ELBOW 1.25"</t>
  </si>
  <si>
    <t>PVC Double Elbow 1.5"</t>
  </si>
  <si>
    <t>PVC DOUBLE ELBOW 1.5"</t>
  </si>
  <si>
    <t>Socket (D-DS) 1 inch</t>
  </si>
  <si>
    <t>SOCKET (D-DS) 1 INCH</t>
  </si>
  <si>
    <t>Large Radius Tee (D-LT) 2 x 1 inch</t>
  </si>
  <si>
    <t>LARGE RADIUS TEE(D-LT) 2 X 1 INCH</t>
  </si>
  <si>
    <t>Elbow (D-DL) 1 inch</t>
  </si>
  <si>
    <t>ELBOW (D-DL) 1 INCH</t>
  </si>
  <si>
    <t>Dop 1 inch</t>
  </si>
  <si>
    <t>DOP 1 INCH</t>
  </si>
  <si>
    <t>Tambang pancing/Roding rope</t>
  </si>
  <si>
    <t>TAMBANG PANCING/RODING ROPE</t>
  </si>
  <si>
    <t>Hand hole include cover, cable hanger and accessories</t>
  </si>
  <si>
    <t>Precast Hand hole for FDT : 80 x 80 x 130 cm</t>
  </si>
  <si>
    <t>PRECAST HH FDT : 80 X 80 X 130 CM</t>
  </si>
  <si>
    <t>Instal Precast Hand hole for FDT :  80 x 80 x 130 cm</t>
  </si>
  <si>
    <t>INSTAL PRECAST HHFDT : 80 X 80 X 130 CM</t>
  </si>
  <si>
    <t>Concrete Hand hole for FDT: 80 x 80 x 130 cm</t>
  </si>
  <si>
    <t>HANDHOLE 80X80X130 CM3 DGN  1 TUTUP HH</t>
  </si>
  <si>
    <t>Instal Concrete Hand hole for FDT: 80 x 80 x 130 cm</t>
  </si>
  <si>
    <t>INSTAL HAND HOLE INCLUDE COVER, FOR FDT</t>
  </si>
  <si>
    <t>Precast Hand hole for FAT : 40 x 40 x 60 cm</t>
  </si>
  <si>
    <t>PRECAST HAND HOLE FAT : 40 X 40 X 60 CM</t>
  </si>
  <si>
    <t>Instal Precast Hand hole for FAT : 40 x 40 x 60 cm</t>
  </si>
  <si>
    <t>INSTAL PRECAST HH FAT : 40 X 40 X 60 CM</t>
  </si>
  <si>
    <t xml:space="preserve"> </t>
  </si>
  <si>
    <t>Concrete Hand hole  for FAT " : 40 x 40 x 60 cm</t>
  </si>
  <si>
    <t>HANDHOLE 40X40X60 CM3 DENGAN 1 TUTUP HH</t>
  </si>
  <si>
    <t>Instal Concrete Hand hole  for FAT " : 40 x 40 x 60 cm</t>
  </si>
  <si>
    <t>PEMBUATAN HANDHOLE 40X40X60 cm3 DG 1 TUT</t>
  </si>
  <si>
    <t>Precast Hand hole for pulling pit : 20x20x20 cm</t>
  </si>
  <si>
    <t>PRECAST HAND HOLE PIT : 20X20X20 CM</t>
  </si>
  <si>
    <t>Instal Precast Hand hole for pulling pit : 20x20x20 cm</t>
  </si>
  <si>
    <t>INSTAL PRECAST HH PIT : 20X20X20 CM</t>
  </si>
  <si>
    <t>Concrete Hand hole for pulling pit : 20x20x20 cm</t>
  </si>
  <si>
    <t>CONCRETE HAND HOLE  PIT : 20X20X20 CM</t>
  </si>
  <si>
    <t>Instal Concrete Hand hole for pulling pit : 20x20x20 cm</t>
  </si>
  <si>
    <t>INSTAL CONCRETE HH PIT : 20X20X20 CM</t>
  </si>
  <si>
    <t>Pembuatan HH PIT 100x100x4 M Jalur KAI</t>
  </si>
  <si>
    <t>PEMBUATAN HH PIT  100X100X4 M JALUR KAI</t>
  </si>
  <si>
    <t>Pemasangan Turab HH PIT dan Barikade</t>
  </si>
  <si>
    <t>PEMASANGAN TURAB HH PIT DAN BARIKADE</t>
  </si>
  <si>
    <t>Label HH</t>
  </si>
  <si>
    <t>LABEL HANDHOLE</t>
  </si>
  <si>
    <t>I</t>
  </si>
  <si>
    <t>Cable riser include accessories</t>
  </si>
  <si>
    <t>CABLE RISER INCLUDE ACCESSORIES</t>
  </si>
  <si>
    <t>Warning tape (Tulisan KABEL MY REPUBLIC)</t>
  </si>
  <si>
    <t>WARNING TAPE</t>
  </si>
  <si>
    <t>Marking post (per 400 meter)</t>
  </si>
  <si>
    <t>MARKING POST</t>
  </si>
  <si>
    <t>Cable Tray include hanger and accessories</t>
  </si>
  <si>
    <t>CABLE TRAY</t>
  </si>
  <si>
    <t>Cable Ladder Tray include hanger and accessories</t>
  </si>
  <si>
    <t>CABLE LADDER TRAY INCLUDE HANGER</t>
  </si>
  <si>
    <t>Bobok dinding per titik</t>
  </si>
  <si>
    <t>BOBOKAN TEMBOK</t>
  </si>
  <si>
    <t>Bobok ceiling per titik</t>
  </si>
  <si>
    <t>BOBOK CEILING PER TITIK</t>
  </si>
  <si>
    <t>Public Right of Way (ROW)/Permit Aerial</t>
  </si>
  <si>
    <t>PUBLIC RIGHT OF WAY (ROW)/PERMIT AERIAL</t>
  </si>
  <si>
    <t>Q</t>
  </si>
  <si>
    <t>Kementerian Permit - Balai Besar (Balai Nasional)</t>
  </si>
  <si>
    <t>500002148</t>
  </si>
  <si>
    <t>PERMIT DINAS</t>
  </si>
  <si>
    <t>R</t>
  </si>
  <si>
    <t>PU Permit</t>
  </si>
  <si>
    <t>500002149</t>
  </si>
  <si>
    <t>S</t>
  </si>
  <si>
    <t>Landlord Permit</t>
  </si>
  <si>
    <t>500002150</t>
  </si>
  <si>
    <t>COMMUNITY PERMIT</t>
  </si>
  <si>
    <t>T</t>
  </si>
  <si>
    <t>KAI Permit</t>
  </si>
  <si>
    <t>500002151</t>
  </si>
  <si>
    <t>Community Permit</t>
  </si>
  <si>
    <t>500002152</t>
  </si>
  <si>
    <t>V</t>
  </si>
  <si>
    <t>Pengelola Tol Permit</t>
  </si>
  <si>
    <t>500002153</t>
  </si>
  <si>
    <t>W</t>
  </si>
  <si>
    <t>Pengelola LRT</t>
  </si>
  <si>
    <t>500002154</t>
  </si>
  <si>
    <t>X</t>
  </si>
  <si>
    <t>RT/RW Permit</t>
  </si>
  <si>
    <t>Y</t>
  </si>
  <si>
    <t>Pemerintah Daerah Permit</t>
  </si>
  <si>
    <t>500002156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</si>
  <si>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</si>
  <si>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</si>
  <si>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</si>
  <si>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POLE / TIANG UDARA 7 METER</t>
  </si>
  <si>
    <t>Pemasangan Tiang 7 meter 5", STEL L-003 1996</t>
  </si>
  <si>
    <t>JASA PEMASANGAN TIANG TUNGGAL 7 M</t>
  </si>
  <si>
    <t>Pengadaan  Tiang Tunggal 9 meter 5", STEL L-003 1996</t>
  </si>
  <si>
    <t>POLE / TIANG UDARA 9 METER</t>
  </si>
  <si>
    <t>Pemasangan Tiang Tunggal 9 meter 5", STEL L-003 1996</t>
  </si>
  <si>
    <t>JASA PEMASANGAN TIANG TUNGGAL 9 M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</si>
  <si>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</si>
  <si>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</si>
  <si>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</si>
  <si>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</si>
  <si>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</si>
  <si>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</si>
  <si>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Perkuatan Tiang</t>
  </si>
  <si>
    <t>Temberang (perkuatan tiang termasuk sling, anchor dan aksesories)</t>
  </si>
  <si>
    <t>TEMBERANG (INCLUDE SLING)</t>
  </si>
  <si>
    <t>Tiang sokong (tiang 9m)</t>
  </si>
  <si>
    <t>TIANG SOKONG (TIANG 9M)</t>
  </si>
  <si>
    <t>Tiang sokong (tiang 7m)</t>
  </si>
  <si>
    <t>TIANG SOKONG (TIANG 7M)</t>
  </si>
  <si>
    <t>Cable loop holder/plat strip/Cable hanger</t>
  </si>
  <si>
    <t>CABLE HANGER</t>
  </si>
  <si>
    <t>Instalasi strand wire/sling messenger 6 mm</t>
  </si>
  <si>
    <t>STRAND WIRE MESSENGER 6 MM</t>
  </si>
  <si>
    <t>Pole Accessories detail</t>
  </si>
  <si>
    <t>1. Plate belt 20mm</t>
  </si>
  <si>
    <t>PLATE BELT 20MM</t>
  </si>
  <si>
    <t>2. Suspension clamp</t>
  </si>
  <si>
    <t>SUSPENSION CLAMP</t>
  </si>
  <si>
    <t>3. Steel hoop and rubber tape</t>
  </si>
  <si>
    <t>STEEL HOOP AND RUBBER TAPE</t>
  </si>
  <si>
    <t>4. Buldog grip</t>
  </si>
  <si>
    <t>BULDOG GRIP</t>
  </si>
  <si>
    <t>5. Clamp 8 (Clamp Gantung)</t>
  </si>
  <si>
    <t>CLAMP 8 (CLAMP GANTUNG)</t>
  </si>
  <si>
    <t>6. Riser pipe 1,5"</t>
  </si>
  <si>
    <t>RISER PIPE</t>
  </si>
  <si>
    <t>7. Galvanized steel pipe 2"</t>
  </si>
  <si>
    <t>8. Steel clamp</t>
  </si>
  <si>
    <t>STEEL CLAMP</t>
  </si>
  <si>
    <t>9. Pole clamp single</t>
  </si>
  <si>
    <t>POLE CLAMP SINGLE</t>
  </si>
  <si>
    <t>10. Pole clamp 2 cable installation</t>
  </si>
  <si>
    <t>POLE CLAMP 2 CABLE INSTALLATION</t>
  </si>
  <si>
    <t>11.Clamps Dead end Fittings/clamp buaya</t>
  </si>
  <si>
    <t>DEAD END</t>
  </si>
  <si>
    <t>12. Bahan Pondasi tiang</t>
  </si>
  <si>
    <t>BAHAN PONDASI TIANG</t>
  </si>
  <si>
    <t>13. HELICAL DEAD END DIAMETER 15.7-17.0 MM</t>
  </si>
  <si>
    <t>Helical Dead End</t>
  </si>
  <si>
    <t>14. Extention Arm</t>
  </si>
  <si>
    <t>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</si>
  <si>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</si>
  <si>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</si>
  <si>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</si>
  <si>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</si>
  <si>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STANDING CLOSED RACK 19" GLASS PANEL</t>
  </si>
  <si>
    <t>Instal Standing Closed Rack 19" with Glass Panel</t>
  </si>
  <si>
    <t>INSTAL STANDING CLOSED RACK 19" GLASS</t>
  </si>
  <si>
    <t xml:space="preserve">Standing Open Rack 19" </t>
  </si>
  <si>
    <t>STANDING OPEN RACK 19"</t>
  </si>
  <si>
    <t xml:space="preserve">Instal Standing Open Rack 19" </t>
  </si>
  <si>
    <t>INSTAL STANDING OPEN RACK 19"</t>
  </si>
  <si>
    <t>Wall Mount Closed Rack Standard 19" with Glass Panel 12 U (450 mm Depth)</t>
  </si>
  <si>
    <t>WALL MOUNT CLOSED RACK 19" GLASS PANEL</t>
  </si>
  <si>
    <t>Instal Wall Mount Closed Rack Standard 19" with Glass Panel 12 U (450 mm Depth)</t>
  </si>
  <si>
    <t>INSTAL WALL MOUNT CLOSED RACK 19" GLASS</t>
  </si>
  <si>
    <t>Optical Distribution Frame(SC/APC) include fiber cable management and accessories (Indoor)</t>
  </si>
  <si>
    <t>Optical Distribution Frame(SC/APC) - 384 ports (ODF)</t>
  </si>
  <si>
    <t>ODF (SC/APC) - 384 PORTS INDOOR</t>
  </si>
  <si>
    <t>Instal Optical Distribution Frame(SC/APC) - 384 ports (ODF)</t>
  </si>
  <si>
    <t>INSTAL ODF (SC/APC) - 384 PORTS INDOOR</t>
  </si>
  <si>
    <t>Optical Distribution Frame(SC/APC) - 576 ports (ODF)</t>
  </si>
  <si>
    <t>ODF (SC/APC) - 576 PORTS INDOOR</t>
  </si>
  <si>
    <t>Instal Optical Distribution Frame(SC/APC) - 576 ports (ODF)</t>
  </si>
  <si>
    <t>INSTAL ODF (SC/APC) - 576 PORTS INDOOR</t>
  </si>
  <si>
    <t>Optical Distribution Frame(SC/APC) - 720 ports (ODF)</t>
  </si>
  <si>
    <t>ODF (SC/APC) - 720 PORTS INDOOR</t>
  </si>
  <si>
    <t>Instal Optical Distribution Frame(SC/APC) - 720 ports (ODF)</t>
  </si>
  <si>
    <t>INSTAL ODF (SC/APC) - 720 PORTS INDOOR</t>
  </si>
  <si>
    <t>Optical Distribution Frame(SC/APC) - 864 ports (ODF)</t>
  </si>
  <si>
    <t>ODF (SC/APC) - 864 PORTS INDOOR</t>
  </si>
  <si>
    <t>Instal Optical Distribution Frame(SC/APC) - 864 ports (ODF)</t>
  </si>
  <si>
    <t>INSTAL ODF (SC/APC) - 864 PORTS INDOOR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</si>
  <si>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</si>
  <si>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</si>
  <si>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ODF (SC/APC) - 48 PORTS OUTDOOR</t>
  </si>
  <si>
    <t>Instal Optical Distribution Frame(SC/APC) - 48 ports (ODF)</t>
  </si>
  <si>
    <t>INSTAL ODF (SC/APC) - 48 PORTS OUTDOOR</t>
  </si>
  <si>
    <t>Optical Distribution Frame(SC/APC) - 168 ports (ODF)</t>
  </si>
  <si>
    <t>ODF (SC/APC) - 168 PORTS OUTDOOR</t>
  </si>
  <si>
    <t>Instal Optical Distribution Frame(SC/APC) - 168 ports (ODF)</t>
  </si>
  <si>
    <t>INSTAL ODF (SC/APC) - 168 PORTS OUTDOOR</t>
  </si>
  <si>
    <t>Optical Distribution Frame(SC/APC) - 288 ports (ODF)</t>
  </si>
  <si>
    <t>ODF (SC/APC) - 288 PORTS OUTDOOR</t>
  </si>
  <si>
    <t>Instal Optical Distribution Frame(SC/APC) - 288 ports (ODF)</t>
  </si>
  <si>
    <t>INSTAL ODF (SC/APC) - 288 PORTS OUTDOOR</t>
  </si>
  <si>
    <t>ODF (SC/APC) - 576 PORTS OUTDOOR</t>
  </si>
  <si>
    <t>INSTAL ODF (SC/APC) - 576 PORTS OUTDOOR</t>
  </si>
  <si>
    <t>Optical Termination module include pigtail inside</t>
  </si>
  <si>
    <t>12 core capacity</t>
  </si>
  <si>
    <t>OTB 12PORT SC/PC</t>
  </si>
  <si>
    <t>24 core capacity</t>
  </si>
  <si>
    <t>OTB 24PORT SC/PC</t>
  </si>
  <si>
    <t>48 core capacity</t>
  </si>
  <si>
    <t>OTB 48PORT SC/PC</t>
  </si>
  <si>
    <t>72 core capacity</t>
  </si>
  <si>
    <t>OTB 72 CORE IN PIGTAIL FC /PC &amp; SC/PC</t>
  </si>
  <si>
    <t>96 core capacity</t>
  </si>
  <si>
    <t>OTB 96 CORE IN PIGTAIL FC /PC &amp; SC/PC</t>
  </si>
  <si>
    <t>Patchcord SM G.657A2</t>
  </si>
  <si>
    <t xml:space="preserve">Patchcord SM G.657A2 SC/APC - SC/UPC - 10 m </t>
  </si>
  <si>
    <t>PATCHCORD SC/APC - SC/UPC -10 M</t>
  </si>
  <si>
    <t xml:space="preserve">Patchcord SM G.657A2 SC/APC - SC/UPC - 3 m </t>
  </si>
  <si>
    <t>PATCHCORD SC/APC - SC/UPC -3 M</t>
  </si>
  <si>
    <t xml:space="preserve">Patchcord SM G.657A2 SC/APC - SC/APC - 10 m </t>
  </si>
  <si>
    <t>PATCHCORD  SC/APC - SC/APC -10 M</t>
  </si>
  <si>
    <t xml:space="preserve">Patchcord SM G.657A2 SC/APC - SC/APC - 3 m </t>
  </si>
  <si>
    <t>PATCHCORD G.657A2 SC/APC -SC/APC SM 3M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</si>
  <si>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</si>
  <si>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</si>
  <si>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</si>
  <si>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</si>
  <si>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</si>
  <si>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TESTCOMM OTDR &amp; OPM OLT - FAT</t>
  </si>
  <si>
    <t>b</t>
  </si>
  <si>
    <t>Testcomm OTDR &amp; OPM ODF - FDT</t>
  </si>
  <si>
    <t>TESTCOMM OTDR &amp; OPM ODF - FDT</t>
  </si>
  <si>
    <t>c</t>
  </si>
  <si>
    <t>Testcomm OTDR &amp; OPM FDT - FAT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</si>
  <si>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</si>
  <si>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</si>
  <si>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</si>
  <si>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</si>
  <si>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SURVEY DAN DESIGN</t>
  </si>
  <si>
    <t>As Built Drawing A1 (1 set asli + 3 set copy + soft copy), KMZ, BOQ &amp; Documentation</t>
  </si>
  <si>
    <t>set per site</t>
  </si>
  <si>
    <t>AS BUILT DRAWING A3 (1 SET), KMZ, &amp; BOQ</t>
  </si>
  <si>
    <t>Sub Total Documentation</t>
  </si>
  <si>
    <t>Others</t>
  </si>
  <si>
    <t>Project Management</t>
  </si>
  <si>
    <t>PROJECT MANAGEMENT</t>
  </si>
  <si>
    <t>Sub Total Project Management Fee</t>
  </si>
  <si>
    <t>Warehouse</t>
  </si>
  <si>
    <t xml:space="preserve">Warehouse </t>
  </si>
  <si>
    <t xml:space="preserve">WAREHOUSE </t>
  </si>
  <si>
    <t>Sub Total Warehouse</t>
  </si>
  <si>
    <t>Extended Warranty &amp; Maintenance (After 1 year basic Warranty &amp; Maintenance) - (Optional)</t>
  </si>
  <si>
    <t>Warranty &amp; Maintenance ODN per year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</si>
  <si>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</si>
  <si>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</si>
  <si>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</si>
  <si>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</si>
  <si>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OPTICAL POWER METER TEST</t>
  </si>
  <si>
    <t>OTDR (Optical Time Domain Reflectometer)</t>
  </si>
  <si>
    <t>OTDR TEST</t>
  </si>
  <si>
    <t>Fusion Splicer</t>
  </si>
  <si>
    <t>FUSION SPLICER</t>
  </si>
  <si>
    <t>Sub Total Tools and Test Equipment</t>
  </si>
  <si>
    <t>Training - (Optional)</t>
  </si>
  <si>
    <t>FTTH Local Training</t>
  </si>
  <si>
    <t>person</t>
  </si>
  <si>
    <t>FTTH LOCAL TRAINING</t>
  </si>
  <si>
    <t xml:space="preserve">FTTH Training Certified by FTTH Council </t>
  </si>
  <si>
    <t>FTTH TRAINING CERTIFIED BY FTTH COUNCIL</t>
  </si>
  <si>
    <t>Sub Total Training</t>
  </si>
  <si>
    <t xml:space="preserve"> Bank Garansi (Optional)- di DKI untuk UG saja</t>
  </si>
  <si>
    <t>Jaminan Pelaksanaan Perbaikan Berupa Bank Garansi</t>
  </si>
  <si>
    <t>qty</t>
  </si>
  <si>
    <t>JAMINAN PERBAIKAN BERUPA BANK GARANSI</t>
  </si>
  <si>
    <t>Jaminan Pemeliharaan Berupa Bank Garansi</t>
  </si>
  <si>
    <t>lot</t>
  </si>
  <si>
    <t>JAMINAN PEMELIHARAAN BERUPA BANK GARANSI</t>
  </si>
  <si>
    <t>SUB TOTAL Bank Garansi (Optional)</t>
  </si>
  <si>
    <t>Total ODN, OSP, Aktivasi, Instalasi, Integrasi, Testing &amp; Dokumentasi</t>
  </si>
  <si>
    <t>Grand Total</t>
  </si>
  <si>
    <t>Cost per Home Pass (IDR)</t>
  </si>
  <si>
    <t>Cost per Home Pass (USD)</t>
  </si>
  <si>
    <t>PT. Eka Mas Repulik</t>
  </si>
  <si>
    <t>Responsibility Customer :</t>
  </si>
  <si>
    <t>Name :</t>
  </si>
  <si>
    <t>Signature :</t>
  </si>
  <si>
    <t>Date:</t>
  </si>
  <si>
    <t>Total Rute</t>
  </si>
  <si>
    <t>Line A - 24C/2T</t>
  </si>
  <si>
    <t>m</t>
  </si>
  <si>
    <t>qty based on design</t>
  </si>
  <si>
    <t>Line B - 24C/2T</t>
  </si>
  <si>
    <t>Line C - 24C/2T</t>
  </si>
  <si>
    <t>Line D - 24C/2T</t>
  </si>
  <si>
    <t>Line A - 36C/3T</t>
  </si>
  <si>
    <t>Line B - 36C/3T</t>
  </si>
  <si>
    <t>Line C - 36C/3T</t>
  </si>
  <si>
    <t>Line D - 36C/3T</t>
  </si>
  <si>
    <t>Line A - 48C/4T</t>
  </si>
  <si>
    <t>Line B - 48C/4T</t>
  </si>
  <si>
    <t>Line C - 48C/4T</t>
  </si>
  <si>
    <t>Line D - 48C/4T</t>
  </si>
  <si>
    <t>auto (based on formula)</t>
  </si>
  <si>
    <t>Rute Strand Wire</t>
  </si>
  <si>
    <t>Total Panjang Cable</t>
  </si>
  <si>
    <t>Total FDT Pole Mounted</t>
  </si>
  <si>
    <t>FDT Pole Mounted 48 core</t>
  </si>
  <si>
    <t>FDT Pole Mounted 72 core</t>
  </si>
  <si>
    <t>Accessoris (1 set every acc)</t>
  </si>
  <si>
    <t>FDT Pole Mounted 96 core</t>
  </si>
  <si>
    <t>FDT Ground Mounted 144 core</t>
  </si>
  <si>
    <t>Total Splitter</t>
  </si>
  <si>
    <t>Modular 1:8 di FDT</t>
  </si>
  <si>
    <t>3. Buldog grip</t>
  </si>
  <si>
    <t>FAT 1:8</t>
  </si>
  <si>
    <t>Total FAT</t>
  </si>
  <si>
    <t>Line A</t>
  </si>
  <si>
    <t>8. Bahan Pondasi tiang</t>
  </si>
  <si>
    <t>Line B</t>
  </si>
  <si>
    <t>Line C</t>
  </si>
  <si>
    <t>6. Pole clamp single</t>
  </si>
  <si>
    <t>Line D</t>
  </si>
  <si>
    <t>9. Steel clamp</t>
  </si>
  <si>
    <t>Total Slack di FDT</t>
  </si>
  <si>
    <t>slack</t>
  </si>
  <si>
    <t>Pole</t>
  </si>
  <si>
    <t>Total Slack di FAT</t>
  </si>
  <si>
    <t>Label</t>
  </si>
  <si>
    <t>Existing Pole LN</t>
  </si>
  <si>
    <t>Panjang Slack</t>
  </si>
  <si>
    <t>Existing Pole MTI</t>
  </si>
  <si>
    <t>Label Cable</t>
  </si>
  <si>
    <t>Existing Pole MR</t>
  </si>
  <si>
    <t>7m 5" (for Distribution Pole / FDT Pole)</t>
  </si>
  <si>
    <t>9m 5" (for crossing roads)</t>
  </si>
  <si>
    <t>Boring manual 150cm</t>
  </si>
  <si>
    <t>9m 4" (for crossing roads)</t>
  </si>
  <si>
    <t>Boring manual Crossing</t>
  </si>
  <si>
    <t xml:space="preserve">Total Concrete HH </t>
  </si>
  <si>
    <t>FDT : 80 x 80 x 130 cm</t>
  </si>
  <si>
    <t xml:space="preserve">Socket HDPE </t>
  </si>
  <si>
    <t>Warning tape</t>
  </si>
  <si>
    <t xml:space="preserve"> (Tulisan KABEL MY REPUBLIC)</t>
  </si>
  <si>
    <t>qty based on design (untuk implementasi long span, diinstal per 2 m)</t>
  </si>
  <si>
    <t>at FDT</t>
  </si>
  <si>
    <t>at FAT</t>
  </si>
  <si>
    <t>10. Testcom FAT</t>
  </si>
  <si>
    <t>11. Testcom FDT</t>
  </si>
  <si>
    <t>Survey and Design</t>
  </si>
  <si>
    <t>Total rute survey</t>
  </si>
  <si>
    <t xml:space="preserve">Pekerjaan Galian </t>
  </si>
  <si>
    <t>Pekerjaan Trenching 30-80 cm</t>
  </si>
  <si>
    <t>Toleransi</t>
  </si>
  <si>
    <t xml:space="preserve">Total Precast HH </t>
  </si>
  <si>
    <t>FAT : 40 x 40 x 60 cm</t>
  </si>
  <si>
    <t>HH pit : 20x20x20 cm</t>
  </si>
  <si>
    <t>Underground Pedestal SPH920</t>
  </si>
  <si>
    <t>Label HandHole</t>
  </si>
  <si>
    <t>Large Raduis Tee</t>
  </si>
  <si>
    <t>Y Adaptor/ T-Wey</t>
  </si>
  <si>
    <t>riser pipe</t>
  </si>
  <si>
    <t xml:space="preserve">Total FDT </t>
  </si>
  <si>
    <t xml:space="preserve">Name : </t>
  </si>
  <si>
    <t>ID :</t>
  </si>
  <si>
    <t>Permit</t>
  </si>
  <si>
    <t>(Permit + PPh  2.65%)</t>
  </si>
  <si>
    <t>Summary PO RT/RW (CLUSTER NAME)</t>
  </si>
  <si>
    <t>7m 4" (for Feeder Pole / FDT Pole)</t>
  </si>
  <si>
    <t>Cable Looping/Tektok</t>
  </si>
  <si>
    <t>(Vendor Name)</t>
  </si>
  <si>
    <t xml:space="preserve">ID : </t>
  </si>
  <si>
    <t>Responsibility Vendor :</t>
  </si>
  <si>
    <t>Panjang Strand Wire + toleransi 5%</t>
  </si>
  <si>
    <t>Total Panjang Kabel (Slack + Toleransi 5%)</t>
  </si>
  <si>
    <t>PENGAMANAN PERIZINAN DAN K3 (Cluster Only)</t>
  </si>
  <si>
    <t>Pengamanan Perizinan dan K3</t>
  </si>
  <si>
    <t>Round Cable 1C - 50 m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</si>
  <si>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</si>
  <si>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</si>
  <si>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</si>
  <si>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</si>
  <si>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</si>
  <si>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</si>
  <si>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</si>
  <si>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</si>
  <si>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</si>
  <si>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</si>
  <si>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</si>
  <si>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ROUND CABLE 1C - 50 M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</si>
  <si>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</si>
  <si>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</si>
  <si>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</si>
  <si>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</si>
  <si>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</si>
  <si>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</si>
  <si>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</si>
  <si>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</si>
  <si>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</si>
  <si>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</si>
  <si>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</si>
  <si>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Hub Box (With Splitter 1:2 Even)</t>
  </si>
  <si>
    <t>Install Hub Box (With Splitter 1:2 Even)</t>
  </si>
  <si>
    <t>HUB BOX (WITH SPLITTER 1:2 EVEN)</t>
  </si>
  <si>
    <t>INSTALL HUB BOX (WITH SPLITTER 1:2 EVEN)</t>
  </si>
  <si>
    <t>Instalasi FAT Underground 8 Port</t>
  </si>
  <si>
    <t>Instalasi FAT Underground 16 Port</t>
  </si>
  <si>
    <t>Sub Box (With Splitter 1:9, Uneven 70/30)</t>
  </si>
  <si>
    <t>Install Sub Box (With Splitter 1:9, Uneven)</t>
  </si>
  <si>
    <t>End Box (With Splitter 1:8, Even)</t>
  </si>
  <si>
    <t>Install End Box (With Splitter 1:8, Even)</t>
  </si>
  <si>
    <t>INSTALASI FAT UNDERGROUND 8 PORT</t>
  </si>
  <si>
    <t>INSTALASI FAT UNDERGROUND 16 PORT</t>
  </si>
  <si>
    <t>SUB BOX (WITH SPLITTER 1:9, UNEVEN 70/30</t>
  </si>
  <si>
    <t>INSTALL SUB BOX (WITHSPLITTER1:9,UNEVEN)</t>
  </si>
  <si>
    <t>END BOX (WITH SPLITTER 1:8, EVEN)</t>
  </si>
  <si>
    <t>INSTALL END BOX (WITH SPLITTER 1:8, EVEN</t>
  </si>
  <si>
    <t>Pole / Tiang Udara 7 Meter 2.5</t>
  </si>
  <si>
    <t>Pemasangan Pole / Tiang Udara 7 M 2.5</t>
  </si>
  <si>
    <t>POLE / TIANG UDARA 7 METER 2.5</t>
  </si>
  <si>
    <t>PEMASANGAN POLE / TIANG UDARA 7 M 2.5</t>
  </si>
  <si>
    <t>FDT 1</t>
  </si>
  <si>
    <t>FDT 2</t>
  </si>
  <si>
    <t>FDT 3</t>
  </si>
  <si>
    <t>FDT 4</t>
  </si>
  <si>
    <t>FDT 5</t>
  </si>
  <si>
    <t>FDT 6</t>
  </si>
  <si>
    <t>FDT 7</t>
  </si>
  <si>
    <t>FDT 8</t>
  </si>
  <si>
    <t>FDT 9</t>
  </si>
  <si>
    <t>FDT 10</t>
  </si>
  <si>
    <t>HUB BOX 1</t>
  </si>
  <si>
    <t>HUB BOX 2</t>
  </si>
  <si>
    <t>HUB BOX 3</t>
  </si>
  <si>
    <t>HUB BOX 4</t>
  </si>
  <si>
    <t>HUB BOX 5</t>
  </si>
  <si>
    <t>HUB BOX 6</t>
  </si>
  <si>
    <t>HUB BOX 7</t>
  </si>
  <si>
    <t>HUB BOX 8</t>
  </si>
  <si>
    <t>HUB BOX 9</t>
  </si>
  <si>
    <t>HUB BOX 10</t>
  </si>
  <si>
    <t>BoM Cluster - Low Cost ODN</t>
  </si>
  <si>
    <t>BoM Cluster - Standard ODN</t>
  </si>
  <si>
    <t>PROJECT ROLL OUT 2026</t>
  </si>
  <si>
    <t>PT. EKA MAS REPUBLIK 
ODN, OSP, Aktivasi, Instalasi, Integrasi, Testing &amp; Dokumentasi</t>
  </si>
  <si>
    <t>HUB Box</t>
  </si>
  <si>
    <t>Total Hub Box Pole Mounted</t>
  </si>
  <si>
    <t>Total Sub Box</t>
  </si>
  <si>
    <t>Total Slack di Sub Box</t>
  </si>
  <si>
    <t>Total Slack di Hub Box</t>
  </si>
  <si>
    <t>Label FAT / Sub Box include QR code</t>
  </si>
  <si>
    <t>7. Clamps Dead end Fittings/clamp buaya</t>
  </si>
  <si>
    <t>Label FDT / Hub Box</t>
  </si>
  <si>
    <t>7m 3" (for Distribution Pole)</t>
  </si>
  <si>
    <t>7m 2.5" (for Home Connect)</t>
  </si>
  <si>
    <t>Date:     /    /2026</t>
  </si>
  <si>
    <r>
      <t xml:space="preserve">Instal Pole mounted outdoor type (16 ports type) </t>
    </r>
    <r>
      <rPr>
        <sz val="10"/>
        <color rgb="FFFF0000"/>
        <rFont val="Calibri"/>
        <family val="2"/>
        <scheme val="minor"/>
      </rPr>
      <t>Pole</t>
    </r>
  </si>
  <si>
    <r>
      <t>meter</t>
    </r>
    <r>
      <rPr>
        <vertAlign val="superscript"/>
        <sz val="10"/>
        <rFont val="Calibri"/>
        <family val="2"/>
        <scheme val="minor"/>
      </rPr>
      <t>3</t>
    </r>
  </si>
  <si>
    <t xml:space="preserve"> Sub Total Preparation</t>
  </si>
  <si>
    <t>VENDOR CODE</t>
  </si>
  <si>
    <t>VENDOR NAME</t>
  </si>
  <si>
    <t>VENDOR STATUS</t>
  </si>
  <si>
    <t>TURNKEY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</si>
</sst>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&quot;£&quot;* #,##0_-;\-&quot;£&quot;* #,##0_-;_-&quot;£&quot;* &quot;-&quot;_-;_-@_-"/>
    <numFmt numFmtId="166" formatCode="_(&quot;Rp&quot;* #,##0_);_(&quot;Rp&quot;* \(#,##0\);_(&quot;Rp&quot;* &quot;-&quot;_);_(@_)"/>
    <numFmt numFmtId="167" formatCode="_([$Rp-421]* #,##0.00_);_([$Rp-421]* \(#,##0.00\);_([$Rp-421]* &quot;-&quot;??_);_(@_)"/>
    <numFmt numFmtId="168" formatCode="_([$$-409]* #,##0.00_);_([$$-409]* \(#,##0.00\);_([$$-409]* &quot;-&quot;??_);_(@_)"/>
    <numFmt numFmtId="169" formatCode="_-* #.##0_-;\-* #.##0_-;_-* &quot;-&quot;_-;_-@_-"/>
    <numFmt numFmtId="170" formatCode="_(* #.##0.00_);_(* \(#.##0.00\);_(* &quot;-&quot;??_);_(@_)"/>
    <numFmt numFmtId="171" formatCode="_(* #.##0_);_(* \(#.##0\);_(* &quot;-&quot;_);_(@_)"/>
    <numFmt numFmtId="172" formatCode="_-&quot;£&quot;* #.##0_-;\-&quot;£&quot;* #.##0_-;_-&quot;£&quot;* &quot;-&quot;_-;_-@_-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indexed="8"/>
      <name val="宋体"/>
      <charset val="134"/>
    </font>
    <font>
      <vertAlign val="superscript"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EBF1DE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5">
    <xf numFmtId="0" fontId="0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8" fillId="0" borderId="0">
      <alignment vertical="center"/>
    </xf>
    <xf numFmtId="0" fontId="18" fillId="0" borderId="0">
      <alignment vertical="center"/>
    </xf>
    <xf numFmtId="0" fontId="6" fillId="0" borderId="0"/>
    <xf numFmtId="0" fontId="4" fillId="0" borderId="0"/>
    <xf numFmtId="169" fontId="4" fillId="0" borderId="0" applyFont="0" applyFill="0" applyBorder="0" applyAlignment="0" applyProtection="0"/>
    <xf numFmtId="170" fontId="18" fillId="0" borderId="0" applyFont="0" applyFill="0" applyBorder="0" applyAlignment="0" applyProtection="0">
      <alignment vertical="center"/>
    </xf>
    <xf numFmtId="0" fontId="4" fillId="0" borderId="0"/>
    <xf numFmtId="169" fontId="4" fillId="0" borderId="0" applyFont="0" applyFill="0" applyBorder="0" applyAlignment="0" applyProtection="0"/>
    <xf numFmtId="0" fontId="4" fillId="0" borderId="0"/>
    <xf numFmtId="0" fontId="4" fillId="0" borderId="0"/>
    <xf numFmtId="0" fontId="13" fillId="0" borderId="0"/>
    <xf numFmtId="0" fontId="4" fillId="0" borderId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</cellStyleXfs>
  <cellXfs count="31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5" fillId="0" borderId="1" xfId="0" applyFont="1" applyBorder="1" applyAlignment="1">
      <alignment vertical="center"/>
    </xf>
    <xf numFmtId="0" fontId="6" fillId="0" borderId="1" xfId="8" applyBorder="1"/>
    <xf numFmtId="0" fontId="6" fillId="3" borderId="1" xfId="8" applyFill="1" applyBorder="1"/>
    <xf numFmtId="0" fontId="6" fillId="4" borderId="1" xfId="8" applyFill="1" applyBorder="1"/>
    <xf numFmtId="0" fontId="7" fillId="5" borderId="0" xfId="0" applyFont="1" applyFill="1"/>
    <xf numFmtId="0" fontId="7" fillId="6" borderId="0" xfId="0" applyFont="1" applyFill="1"/>
    <xf numFmtId="0" fontId="7" fillId="0" borderId="0" xfId="0" applyFont="1"/>
    <xf numFmtId="0" fontId="8" fillId="7" borderId="0" xfId="0" applyFont="1" applyFill="1"/>
    <xf numFmtId="0" fontId="7" fillId="0" borderId="0" xfId="0" applyFont="1" applyAlignment="1">
      <alignment horizontal="center" vertical="center"/>
    </xf>
    <xf numFmtId="0" fontId="9" fillId="0" borderId="0" xfId="0" applyFont="1"/>
    <xf numFmtId="0" fontId="7" fillId="0" borderId="0" xfId="0" applyFont="1" applyAlignment="1">
      <alignment horizontal="center"/>
    </xf>
    <xf numFmtId="0" fontId="7" fillId="7" borderId="0" xfId="0" applyFont="1" applyFill="1"/>
    <xf numFmtId="0" fontId="10" fillId="8" borderId="2" xfId="11" applyFont="1" applyFill="1" applyBorder="1" applyAlignment="1">
      <alignment horizontal="left" vertical="center"/>
    </xf>
    <xf numFmtId="0" fontId="11" fillId="8" borderId="3" xfId="11" applyFont="1" applyFill="1" applyBorder="1" applyAlignment="1"/>
    <xf numFmtId="0" fontId="11" fillId="8" borderId="3" xfId="11" applyFont="1" applyFill="1" applyBorder="1" applyAlignment="1">
      <alignment horizontal="center"/>
    </xf>
    <xf numFmtId="0" fontId="12" fillId="8" borderId="0" xfId="11" applyFont="1" applyFill="1" applyAlignment="1">
      <alignment horizontal="center"/>
    </xf>
    <xf numFmtId="0" fontId="11" fillId="8" borderId="0" xfId="11" applyFont="1" applyFill="1" applyAlignment="1">
      <alignment horizontal="center"/>
    </xf>
    <xf numFmtId="0" fontId="12" fillId="8" borderId="4" xfId="11" applyFont="1" applyFill="1" applyBorder="1" applyAlignment="1">
      <alignment horizontal="left" vertical="center"/>
    </xf>
    <xf numFmtId="0" fontId="11" fillId="8" borderId="0" xfId="11" applyFont="1" applyFill="1" applyAlignment="1"/>
    <xf numFmtId="0" fontId="12" fillId="8" borderId="0" xfId="11" applyFont="1" applyFill="1" applyAlignment="1">
      <alignment horizontal="left" vertical="center" wrapText="1"/>
    </xf>
    <xf numFmtId="0" fontId="12" fillId="8" borderId="0" xfId="11" applyFont="1" applyFill="1" applyAlignment="1">
      <alignment horizontal="left" vertical="center"/>
    </xf>
    <xf numFmtId="3" fontId="9" fillId="8" borderId="0" xfId="1" applyNumberFormat="1" applyFont="1" applyFill="1" applyBorder="1" applyAlignment="1">
      <alignment horizontal="center" vertical="center"/>
    </xf>
    <xf numFmtId="3" fontId="12" fillId="8" borderId="0" xfId="1" applyNumberFormat="1" applyFont="1" applyFill="1" applyBorder="1" applyAlignment="1">
      <alignment horizontal="center" vertical="center" wrapText="1"/>
    </xf>
    <xf numFmtId="0" fontId="12" fillId="8" borderId="4" xfId="11" applyFont="1" applyFill="1" applyBorder="1" applyAlignment="1">
      <alignment horizontal="center"/>
    </xf>
    <xf numFmtId="0" fontId="12" fillId="7" borderId="1" xfId="11" applyFont="1" applyFill="1" applyBorder="1" applyAlignment="1">
      <alignment horizontal="center" vertical="center"/>
    </xf>
    <xf numFmtId="0" fontId="12" fillId="7" borderId="1" xfId="11" applyFont="1" applyFill="1" applyBorder="1">
      <alignment vertical="center"/>
    </xf>
    <xf numFmtId="43" fontId="12" fillId="7" borderId="5" xfId="4" applyFont="1" applyFill="1" applyBorder="1" applyAlignment="1">
      <alignment horizontal="center" vertical="center"/>
    </xf>
    <xf numFmtId="0" fontId="12" fillId="5" borderId="1" xfId="11" applyFont="1" applyFill="1" applyBorder="1" applyAlignment="1">
      <alignment horizontal="center" vertical="center"/>
    </xf>
    <xf numFmtId="0" fontId="12" fillId="5" borderId="1" xfId="11" applyFont="1" applyFill="1" applyBorder="1" applyAlignment="1">
      <alignment horizontal="left"/>
    </xf>
    <xf numFmtId="0" fontId="11" fillId="5" borderId="1" xfId="11" applyFont="1" applyFill="1" applyBorder="1" applyAlignment="1">
      <alignment horizontal="center"/>
    </xf>
    <xf numFmtId="3" fontId="12" fillId="5" borderId="1" xfId="1" applyNumberFormat="1" applyFont="1" applyFill="1" applyBorder="1" applyAlignment="1">
      <alignment horizontal="center" vertical="center"/>
    </xf>
    <xf numFmtId="3" fontId="11" fillId="5" borderId="1" xfId="1" applyNumberFormat="1" applyFont="1" applyFill="1" applyBorder="1" applyAlignment="1">
      <alignment horizontal="center" vertical="center"/>
    </xf>
    <xf numFmtId="0" fontId="11" fillId="7" borderId="1" xfId="11" applyFont="1" applyFill="1" applyBorder="1" applyAlignment="1">
      <alignment horizontal="center" vertical="center"/>
    </xf>
    <xf numFmtId="0" fontId="11" fillId="7" borderId="1" xfId="11" applyFont="1" applyFill="1" applyBorder="1" applyAlignment="1">
      <alignment horizontal="center"/>
    </xf>
    <xf numFmtId="164" fontId="11" fillId="0" borderId="1" xfId="1" applyFont="1" applyFill="1" applyBorder="1" applyAlignment="1">
      <alignment horizontal="center" vertical="center"/>
    </xf>
    <xf numFmtId="164" fontId="7" fillId="0" borderId="1" xfId="1" applyFont="1" applyBorder="1"/>
    <xf numFmtId="0" fontId="12" fillId="6" borderId="6" xfId="11" applyFont="1" applyFill="1" applyBorder="1" applyAlignment="1">
      <alignment horizontal="left" vertical="center"/>
    </xf>
    <xf numFmtId="0" fontId="12" fillId="6" borderId="6" xfId="11" applyFont="1" applyFill="1" applyBorder="1" applyAlignment="1">
      <alignment horizontal="center" vertical="center"/>
    </xf>
    <xf numFmtId="0" fontId="12" fillId="6" borderId="6" xfId="11" applyFont="1" applyFill="1" applyBorder="1" applyAlignment="1">
      <alignment horizontal="center"/>
    </xf>
    <xf numFmtId="164" fontId="11" fillId="6" borderId="1" xfId="1" applyFont="1" applyFill="1" applyBorder="1" applyAlignment="1" applyProtection="1">
      <alignment horizontal="center" vertical="center"/>
    </xf>
    <xf numFmtId="3" fontId="12" fillId="6" borderId="1" xfId="1" applyNumberFormat="1" applyFont="1" applyFill="1" applyBorder="1" applyAlignment="1">
      <alignment horizontal="center" vertical="center"/>
    </xf>
    <xf numFmtId="0" fontId="12" fillId="7" borderId="5" xfId="11" applyFont="1" applyFill="1" applyBorder="1" applyAlignment="1">
      <alignment horizontal="center" vertical="center"/>
    </xf>
    <xf numFmtId="0" fontId="12" fillId="7" borderId="2" xfId="11" applyFont="1" applyFill="1" applyBorder="1" applyAlignment="1">
      <alignment horizontal="center" vertical="center"/>
    </xf>
    <xf numFmtId="0" fontId="11" fillId="7" borderId="3" xfId="11" applyFont="1" applyFill="1" applyBorder="1" applyAlignment="1">
      <alignment horizontal="center"/>
    </xf>
    <xf numFmtId="164" fontId="11" fillId="7" borderId="1" xfId="1" applyFont="1" applyFill="1" applyBorder="1" applyAlignment="1" applyProtection="1">
      <alignment horizontal="center" vertical="center"/>
    </xf>
    <xf numFmtId="3" fontId="12" fillId="7" borderId="1" xfId="1" applyNumberFormat="1" applyFont="1" applyFill="1" applyBorder="1" applyAlignment="1">
      <alignment horizontal="center" vertical="center"/>
    </xf>
    <xf numFmtId="0" fontId="12" fillId="7" borderId="1" xfId="11" applyFont="1" applyFill="1" applyBorder="1" applyAlignment="1">
      <alignment horizontal="left" vertical="center" wrapText="1"/>
    </xf>
    <xf numFmtId="43" fontId="12" fillId="7" borderId="7" xfId="4" applyFont="1" applyFill="1" applyBorder="1" applyAlignment="1">
      <alignment horizontal="center" vertical="center"/>
    </xf>
    <xf numFmtId="43" fontId="12" fillId="7" borderId="8" xfId="4" applyFont="1" applyFill="1" applyBorder="1" applyAlignment="1">
      <alignment horizontal="center" vertical="center"/>
    </xf>
    <xf numFmtId="0" fontId="12" fillId="5" borderId="7" xfId="11" applyFont="1" applyFill="1" applyBorder="1" applyAlignment="1">
      <alignment horizontal="left"/>
    </xf>
    <xf numFmtId="0" fontId="11" fillId="5" borderId="8" xfId="11" applyFont="1" applyFill="1" applyBorder="1" applyAlignment="1">
      <alignment horizontal="center"/>
    </xf>
    <xf numFmtId="3" fontId="11" fillId="5" borderId="8" xfId="1" applyNumberFormat="1" applyFont="1" applyFill="1" applyBorder="1" applyAlignment="1">
      <alignment horizontal="center" vertical="center"/>
    </xf>
    <xf numFmtId="0" fontId="11" fillId="0" borderId="1" xfId="11" applyFont="1" applyBorder="1" applyAlignment="1"/>
    <xf numFmtId="3" fontId="11" fillId="7" borderId="1" xfId="1" applyNumberFormat="1" applyFont="1" applyFill="1" applyBorder="1" applyAlignment="1">
      <alignment horizontal="center" vertical="center"/>
    </xf>
    <xf numFmtId="164" fontId="11" fillId="0" borderId="1" xfId="1" applyFont="1" applyFill="1" applyBorder="1" applyAlignment="1" applyProtection="1">
      <alignment horizontal="center" vertical="center"/>
    </xf>
    <xf numFmtId="0" fontId="7" fillId="7" borderId="1" xfId="11" applyFont="1" applyFill="1" applyBorder="1" applyAlignment="1">
      <alignment horizontal="center" vertical="center"/>
    </xf>
    <xf numFmtId="0" fontId="11" fillId="7" borderId="1" xfId="11" applyFont="1" applyFill="1" applyBorder="1" applyAlignment="1">
      <alignment horizontal="left" vertical="center" wrapText="1"/>
    </xf>
    <xf numFmtId="0" fontId="11" fillId="7" borderId="1" xfId="11" applyFont="1" applyFill="1" applyBorder="1" applyAlignment="1"/>
    <xf numFmtId="0" fontId="11" fillId="0" borderId="1" xfId="8" applyFont="1" applyBorder="1" applyAlignment="1">
      <alignment wrapText="1"/>
    </xf>
    <xf numFmtId="0" fontId="11" fillId="0" borderId="1" xfId="11" applyFont="1" applyBorder="1" applyAlignment="1">
      <alignment horizontal="center" vertical="center"/>
    </xf>
    <xf numFmtId="0" fontId="11" fillId="0" borderId="1" xfId="11" applyFont="1" applyBorder="1" applyAlignment="1">
      <alignment horizontal="center"/>
    </xf>
    <xf numFmtId="0" fontId="11" fillId="8" borderId="0" xfId="11" applyFont="1" applyFill="1" applyAlignment="1">
      <alignment horizontal="center" vertical="center"/>
    </xf>
    <xf numFmtId="43" fontId="12" fillId="9" borderId="9" xfId="11" applyNumberFormat="1" applyFont="1" applyFill="1" applyBorder="1" applyAlignment="1">
      <alignment vertical="center" wrapText="1"/>
    </xf>
    <xf numFmtId="43" fontId="12" fillId="9" borderId="1" xfId="11" applyNumberFormat="1" applyFont="1" applyFill="1" applyBorder="1" applyAlignment="1">
      <alignment vertical="center" wrapText="1"/>
    </xf>
    <xf numFmtId="43" fontId="12" fillId="7" borderId="9" xfId="11" applyNumberFormat="1" applyFont="1" applyFill="1" applyBorder="1" applyAlignment="1">
      <alignment horizontal="left" vertical="center" wrapText="1"/>
    </xf>
    <xf numFmtId="43" fontId="12" fillId="7" borderId="1" xfId="11" applyNumberFormat="1" applyFont="1" applyFill="1" applyBorder="1" applyAlignment="1">
      <alignment horizontal="center" vertical="center"/>
    </xf>
    <xf numFmtId="0" fontId="12" fillId="8" borderId="0" xfId="11" applyFont="1" applyFill="1" applyAlignment="1">
      <alignment horizontal="center" vertical="center" wrapText="1"/>
    </xf>
    <xf numFmtId="0" fontId="9" fillId="0" borderId="1" xfId="11" applyFont="1" applyBorder="1" applyAlignment="1">
      <alignment horizontal="center" vertical="center"/>
    </xf>
    <xf numFmtId="0" fontId="16" fillId="7" borderId="1" xfId="11" applyFont="1" applyFill="1" applyBorder="1" applyAlignment="1">
      <alignment horizontal="center" vertical="center" wrapText="1"/>
    </xf>
    <xf numFmtId="3" fontId="9" fillId="0" borderId="1" xfId="1" applyNumberFormat="1" applyFont="1" applyFill="1" applyBorder="1" applyAlignment="1">
      <alignment horizontal="center" vertical="center"/>
    </xf>
    <xf numFmtId="0" fontId="12" fillId="7" borderId="9" xfId="11" applyFont="1" applyFill="1" applyBorder="1" applyAlignment="1">
      <alignment horizontal="left" vertical="center"/>
    </xf>
    <xf numFmtId="3" fontId="17" fillId="7" borderId="1" xfId="1" applyNumberFormat="1" applyFont="1" applyFill="1" applyBorder="1" applyAlignment="1">
      <alignment horizontal="center" vertical="center"/>
    </xf>
    <xf numFmtId="3" fontId="12" fillId="7" borderId="5" xfId="1" applyNumberFormat="1" applyFont="1" applyFill="1" applyBorder="1" applyAlignment="1">
      <alignment horizontal="center" vertical="center"/>
    </xf>
    <xf numFmtId="0" fontId="11" fillId="5" borderId="1" xfId="11" applyFont="1" applyFill="1" applyBorder="1" applyAlignment="1">
      <alignment horizontal="center" vertical="center"/>
    </xf>
    <xf numFmtId="164" fontId="11" fillId="0" borderId="1" xfId="11" applyNumberFormat="1" applyFont="1" applyBorder="1" applyAlignment="1">
      <alignment horizontal="center"/>
    </xf>
    <xf numFmtId="0" fontId="11" fillId="7" borderId="1" xfId="11" applyFont="1" applyFill="1" applyBorder="1" applyAlignment="1">
      <alignment horizontal="left" vertical="center"/>
    </xf>
    <xf numFmtId="3" fontId="12" fillId="6" borderId="10" xfId="1" applyNumberFormat="1" applyFont="1" applyFill="1" applyBorder="1" applyAlignment="1">
      <alignment horizontal="center" vertical="center"/>
    </xf>
    <xf numFmtId="3" fontId="12" fillId="6" borderId="6" xfId="1" applyNumberFormat="1" applyFont="1" applyFill="1" applyBorder="1" applyAlignment="1">
      <alignment horizontal="center" vertical="center"/>
    </xf>
    <xf numFmtId="3" fontId="12" fillId="7" borderId="3" xfId="1" applyNumberFormat="1" applyFont="1" applyFill="1" applyBorder="1" applyAlignment="1">
      <alignment horizontal="center" vertical="center"/>
    </xf>
    <xf numFmtId="0" fontId="12" fillId="7" borderId="3" xfId="11" applyFont="1" applyFill="1" applyBorder="1" applyAlignment="1">
      <alignment horizontal="center" vertical="center"/>
    </xf>
    <xf numFmtId="43" fontId="12" fillId="7" borderId="9" xfId="4" applyFont="1" applyFill="1" applyBorder="1" applyAlignment="1">
      <alignment horizontal="center" vertical="center"/>
    </xf>
    <xf numFmtId="0" fontId="11" fillId="5" borderId="8" xfId="11" applyFont="1" applyFill="1" applyBorder="1" applyAlignment="1">
      <alignment horizontal="center" vertical="center"/>
    </xf>
    <xf numFmtId="164" fontId="11" fillId="7" borderId="1" xfId="1" applyFont="1" applyFill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/>
    </xf>
    <xf numFmtId="3" fontId="7" fillId="0" borderId="1" xfId="1" applyNumberFormat="1" applyFont="1" applyFill="1" applyBorder="1" applyAlignment="1">
      <alignment horizontal="center" vertical="center"/>
    </xf>
    <xf numFmtId="0" fontId="11" fillId="0" borderId="1" xfId="8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5" fillId="0" borderId="1" xfId="8" applyFont="1" applyBorder="1" applyAlignment="1">
      <alignment vertical="center"/>
    </xf>
    <xf numFmtId="3" fontId="11" fillId="7" borderId="1" xfId="2" applyNumberFormat="1" applyFont="1" applyFill="1" applyBorder="1" applyAlignment="1">
      <alignment horizontal="center" vertical="center"/>
    </xf>
    <xf numFmtId="43" fontId="12" fillId="7" borderId="0" xfId="11" applyNumberFormat="1" applyFont="1" applyFill="1" applyAlignment="1">
      <alignment vertical="center" wrapText="1"/>
    </xf>
    <xf numFmtId="0" fontId="11" fillId="7" borderId="0" xfId="11" applyFont="1" applyFill="1" applyAlignment="1"/>
    <xf numFmtId="43" fontId="12" fillId="7" borderId="0" xfId="11" applyNumberFormat="1" applyFont="1" applyFill="1" applyAlignment="1">
      <alignment horizontal="center" vertical="center"/>
    </xf>
    <xf numFmtId="0" fontId="16" fillId="7" borderId="0" xfId="11" applyFont="1" applyFill="1" applyAlignment="1">
      <alignment horizontal="center" vertical="center" wrapText="1"/>
    </xf>
    <xf numFmtId="0" fontId="11" fillId="7" borderId="0" xfId="11" applyFont="1" applyFill="1" applyAlignment="1">
      <alignment wrapText="1"/>
    </xf>
    <xf numFmtId="3" fontId="9" fillId="7" borderId="0" xfId="1" applyNumberFormat="1" applyFont="1" applyFill="1" applyBorder="1" applyAlignment="1">
      <alignment horizontal="center" vertical="center"/>
    </xf>
    <xf numFmtId="0" fontId="11" fillId="7" borderId="0" xfId="11" applyFont="1" applyFill="1" applyAlignment="1">
      <alignment horizontal="center" vertical="center"/>
    </xf>
    <xf numFmtId="3" fontId="17" fillId="7" borderId="0" xfId="1" applyNumberFormat="1" applyFont="1" applyFill="1" applyBorder="1" applyAlignment="1">
      <alignment horizontal="center" vertical="center"/>
    </xf>
    <xf numFmtId="3" fontId="11" fillId="7" borderId="0" xfId="1" applyNumberFormat="1" applyFont="1" applyFill="1" applyBorder="1" applyAlignment="1">
      <alignment horizontal="center" vertical="center"/>
    </xf>
    <xf numFmtId="3" fontId="12" fillId="7" borderId="0" xfId="1" applyNumberFormat="1" applyFont="1" applyFill="1" applyBorder="1" applyAlignment="1">
      <alignment horizontal="center" vertical="center"/>
    </xf>
    <xf numFmtId="0" fontId="12" fillId="7" borderId="0" xfId="11" applyFont="1" applyFill="1" applyAlignment="1"/>
    <xf numFmtId="43" fontId="12" fillId="7" borderId="0" xfId="4" applyFont="1" applyFill="1" applyBorder="1" applyAlignment="1">
      <alignment horizontal="center" vertical="center"/>
    </xf>
    <xf numFmtId="0" fontId="7" fillId="7" borderId="0" xfId="11" applyFont="1" applyFill="1" applyAlignment="1"/>
    <xf numFmtId="3" fontId="11" fillId="7" borderId="0" xfId="2" applyNumberFormat="1" applyFont="1" applyFill="1" applyBorder="1" applyAlignment="1">
      <alignment horizontal="center" vertical="center"/>
    </xf>
    <xf numFmtId="3" fontId="14" fillId="7" borderId="0" xfId="2" applyNumberFormat="1" applyFont="1" applyFill="1" applyBorder="1" applyAlignment="1">
      <alignment horizontal="center" vertical="center"/>
    </xf>
    <xf numFmtId="0" fontId="14" fillId="7" borderId="0" xfId="11" applyFont="1" applyFill="1" applyAlignment="1"/>
    <xf numFmtId="0" fontId="11" fillId="7" borderId="1" xfId="11" applyFont="1" applyFill="1" applyBorder="1">
      <alignment vertical="center"/>
    </xf>
    <xf numFmtId="0" fontId="12" fillId="6" borderId="1" xfId="11" applyFont="1" applyFill="1" applyBorder="1" applyAlignment="1">
      <alignment horizontal="left"/>
    </xf>
    <xf numFmtId="0" fontId="12" fillId="6" borderId="1" xfId="11" applyFont="1" applyFill="1" applyBorder="1" applyAlignment="1">
      <alignment horizontal="center"/>
    </xf>
    <xf numFmtId="0" fontId="11" fillId="7" borderId="7" xfId="11" applyFont="1" applyFill="1" applyBorder="1" applyAlignment="1">
      <alignment horizontal="center" vertical="center"/>
    </xf>
    <xf numFmtId="0" fontId="11" fillId="7" borderId="8" xfId="11" applyFont="1" applyFill="1" applyBorder="1" applyAlignment="1"/>
    <xf numFmtId="0" fontId="11" fillId="7" borderId="8" xfId="11" applyFont="1" applyFill="1" applyBorder="1" applyAlignment="1">
      <alignment horizontal="center"/>
    </xf>
    <xf numFmtId="3" fontId="11" fillId="7" borderId="8" xfId="1" applyNumberFormat="1" applyFont="1" applyFill="1" applyBorder="1" applyAlignment="1">
      <alignment horizontal="center" vertical="center"/>
    </xf>
    <xf numFmtId="0" fontId="12" fillId="5" borderId="1" xfId="11" applyFont="1" applyFill="1" applyBorder="1" applyAlignment="1"/>
    <xf numFmtId="0" fontId="11" fillId="7" borderId="1" xfId="11" applyFont="1" applyFill="1" applyBorder="1" applyAlignment="1">
      <alignment wrapText="1"/>
    </xf>
    <xf numFmtId="0" fontId="11" fillId="0" borderId="1" xfId="11" applyFont="1" applyBorder="1" applyAlignment="1">
      <alignment vertical="center" wrapText="1"/>
    </xf>
    <xf numFmtId="0" fontId="11" fillId="0" borderId="1" xfId="11" applyFont="1" applyBorder="1" applyAlignment="1">
      <alignment wrapText="1"/>
    </xf>
    <xf numFmtId="0" fontId="12" fillId="6" borderId="1" xfId="11" applyFont="1" applyFill="1" applyBorder="1" applyAlignment="1">
      <alignment horizontal="center" vertical="center"/>
    </xf>
    <xf numFmtId="3" fontId="11" fillId="0" borderId="8" xfId="1" applyNumberFormat="1" applyFont="1" applyFill="1" applyBorder="1" applyAlignment="1">
      <alignment horizontal="center" vertical="center"/>
    </xf>
    <xf numFmtId="0" fontId="11" fillId="7" borderId="8" xfId="11" applyFont="1" applyFill="1" applyBorder="1" applyAlignment="1">
      <alignment horizontal="center" vertical="center"/>
    </xf>
    <xf numFmtId="3" fontId="11" fillId="0" borderId="9" xfId="1" applyNumberFormat="1" applyFont="1" applyFill="1" applyBorder="1" applyAlignment="1">
      <alignment horizontal="center" vertical="center"/>
    </xf>
    <xf numFmtId="0" fontId="11" fillId="0" borderId="1" xfId="11" applyFont="1" applyBorder="1" applyAlignment="1">
      <alignment horizontal="left" vertical="center"/>
    </xf>
    <xf numFmtId="0" fontId="11" fillId="0" borderId="1" xfId="1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vertical="top"/>
    </xf>
    <xf numFmtId="3" fontId="11" fillId="7" borderId="11" xfId="1" applyNumberFormat="1" applyFont="1" applyFill="1" applyBorder="1" applyAlignment="1">
      <alignment horizontal="center" vertical="center"/>
    </xf>
    <xf numFmtId="0" fontId="11" fillId="7" borderId="12" xfId="11" applyFont="1" applyFill="1" applyBorder="1" applyAlignment="1">
      <alignment horizontal="left" vertical="center" wrapText="1"/>
    </xf>
    <xf numFmtId="3" fontId="11" fillId="7" borderId="0" xfId="1" applyNumberFormat="1" applyFont="1" applyFill="1" applyBorder="1" applyAlignment="1">
      <alignment horizontal="left" vertical="center"/>
    </xf>
    <xf numFmtId="0" fontId="11" fillId="0" borderId="1" xfId="9" applyFont="1" applyBorder="1" applyAlignment="1">
      <alignment horizontal="center"/>
    </xf>
    <xf numFmtId="0" fontId="11" fillId="0" borderId="1" xfId="10" applyFont="1" applyBorder="1" applyAlignment="1">
      <alignment wrapText="1"/>
    </xf>
    <xf numFmtId="0" fontId="11" fillId="0" borderId="1" xfId="13" applyFont="1" applyBorder="1" applyAlignment="1">
      <alignment horizontal="center"/>
    </xf>
    <xf numFmtId="0" fontId="12" fillId="7" borderId="7" xfId="11" applyFont="1" applyFill="1" applyBorder="1" applyAlignment="1">
      <alignment horizontal="center"/>
    </xf>
    <xf numFmtId="0" fontId="12" fillId="7" borderId="8" xfId="11" applyFont="1" applyFill="1" applyBorder="1" applyAlignment="1">
      <alignment horizontal="center"/>
    </xf>
    <xf numFmtId="3" fontId="12" fillId="7" borderId="8" xfId="1" applyNumberFormat="1" applyFont="1" applyFill="1" applyBorder="1" applyAlignment="1">
      <alignment horizontal="center" vertical="center"/>
    </xf>
    <xf numFmtId="164" fontId="11" fillId="0" borderId="1" xfId="11" applyNumberFormat="1" applyFont="1" applyBorder="1" applyAlignment="1"/>
    <xf numFmtId="49" fontId="7" fillId="0" borderId="1" xfId="0" applyNumberFormat="1" applyFont="1" applyBorder="1"/>
    <xf numFmtId="3" fontId="11" fillId="0" borderId="1" xfId="1" applyNumberFormat="1" applyFont="1" applyFill="1" applyBorder="1" applyAlignment="1">
      <alignment horizontal="center" vertical="center"/>
    </xf>
    <xf numFmtId="0" fontId="12" fillId="7" borderId="8" xfId="11" applyFont="1" applyFill="1" applyBorder="1" applyAlignment="1">
      <alignment horizontal="center" vertical="center"/>
    </xf>
    <xf numFmtId="3" fontId="12" fillId="7" borderId="9" xfId="1" applyNumberFormat="1" applyFont="1" applyFill="1" applyBorder="1" applyAlignment="1">
      <alignment horizontal="center" vertical="center"/>
    </xf>
    <xf numFmtId="164" fontId="11" fillId="0" borderId="1" xfId="11" applyNumberFormat="1" applyFont="1" applyBorder="1" applyAlignment="1">
      <alignment horizontal="center" vertical="center"/>
    </xf>
    <xf numFmtId="0" fontId="11" fillId="0" borderId="1" xfId="8" applyFont="1" applyBorder="1" applyAlignment="1">
      <alignment horizontal="center" vertical="center"/>
    </xf>
    <xf numFmtId="0" fontId="11" fillId="0" borderId="1" xfId="8" applyFont="1" applyBorder="1" applyAlignment="1">
      <alignment horizontal="left" vertical="center" wrapText="1"/>
    </xf>
    <xf numFmtId="164" fontId="7" fillId="0" borderId="1" xfId="1" applyFont="1" applyFill="1" applyBorder="1"/>
    <xf numFmtId="0" fontId="12" fillId="7" borderId="6" xfId="11" applyFont="1" applyFill="1" applyBorder="1" applyAlignment="1">
      <alignment horizontal="center" vertical="center"/>
    </xf>
    <xf numFmtId="0" fontId="12" fillId="7" borderId="13" xfId="11" applyFont="1" applyFill="1" applyBorder="1" applyAlignment="1">
      <alignment horizontal="center"/>
    </xf>
    <xf numFmtId="0" fontId="12" fillId="7" borderId="0" xfId="11" applyFont="1" applyFill="1" applyAlignment="1">
      <alignment horizontal="center"/>
    </xf>
    <xf numFmtId="3" fontId="12" fillId="7" borderId="14" xfId="1" applyNumberFormat="1" applyFont="1" applyFill="1" applyBorder="1" applyAlignment="1">
      <alignment horizontal="center" vertical="center"/>
    </xf>
    <xf numFmtId="0" fontId="11" fillId="7" borderId="1" xfId="9" applyFont="1" applyFill="1" applyBorder="1" applyAlignment="1">
      <alignment wrapText="1"/>
    </xf>
    <xf numFmtId="0" fontId="11" fillId="7" borderId="1" xfId="9" applyFont="1" applyFill="1" applyBorder="1" applyAlignment="1">
      <alignment horizontal="center"/>
    </xf>
    <xf numFmtId="0" fontId="11" fillId="0" borderId="1" xfId="9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12" fillId="7" borderId="14" xfId="11" applyFont="1" applyFill="1" applyBorder="1" applyAlignment="1">
      <alignment horizontal="center" vertical="center"/>
    </xf>
    <xf numFmtId="3" fontId="12" fillId="7" borderId="10" xfId="1" applyNumberFormat="1" applyFont="1" applyFill="1" applyBorder="1" applyAlignment="1">
      <alignment horizontal="center" vertical="center"/>
    </xf>
    <xf numFmtId="0" fontId="11" fillId="5" borderId="1" xfId="11" applyFont="1" applyFill="1" applyBorder="1" applyAlignment="1"/>
    <xf numFmtId="3" fontId="11" fillId="0" borderId="0" xfId="1" applyNumberFormat="1" applyFont="1" applyFill="1" applyBorder="1" applyAlignment="1">
      <alignment horizontal="center" vertical="center"/>
    </xf>
    <xf numFmtId="0" fontId="11" fillId="0" borderId="0" xfId="11" applyFont="1" applyAlignment="1"/>
    <xf numFmtId="0" fontId="11" fillId="6" borderId="1" xfId="11" applyFont="1" applyFill="1" applyBorder="1" applyAlignment="1"/>
    <xf numFmtId="3" fontId="11" fillId="6" borderId="1" xfId="1" applyNumberFormat="1" applyFont="1" applyFill="1" applyBorder="1" applyAlignment="1">
      <alignment horizontal="center" vertical="center"/>
    </xf>
    <xf numFmtId="0" fontId="12" fillId="7" borderId="7" xfId="11" applyFont="1" applyFill="1" applyBorder="1" applyAlignment="1">
      <alignment horizontal="center" vertical="center"/>
    </xf>
    <xf numFmtId="3" fontId="11" fillId="5" borderId="1" xfId="1" applyNumberFormat="1" applyFont="1" applyFill="1" applyBorder="1" applyAlignment="1">
      <alignment horizontal="center"/>
    </xf>
    <xf numFmtId="3" fontId="11" fillId="7" borderId="1" xfId="1" applyNumberFormat="1" applyFont="1" applyFill="1" applyBorder="1" applyAlignment="1">
      <alignment horizontal="center"/>
    </xf>
    <xf numFmtId="0" fontId="12" fillId="6" borderId="1" xfId="11" applyFont="1" applyFill="1" applyBorder="1" applyAlignment="1"/>
    <xf numFmtId="3" fontId="12" fillId="6" borderId="1" xfId="1" applyNumberFormat="1" applyFont="1" applyFill="1" applyBorder="1" applyAlignment="1">
      <alignment horizontal="center"/>
    </xf>
    <xf numFmtId="0" fontId="11" fillId="7" borderId="7" xfId="11" applyFont="1" applyFill="1" applyBorder="1" applyAlignment="1"/>
    <xf numFmtId="164" fontId="11" fillId="7" borderId="8" xfId="1" applyFont="1" applyFill="1" applyBorder="1" applyAlignment="1">
      <alignment horizontal="center" vertical="center"/>
    </xf>
    <xf numFmtId="0" fontId="11" fillId="0" borderId="1" xfId="8" applyFont="1" applyBorder="1" applyAlignment="1">
      <alignment horizontal="center"/>
    </xf>
    <xf numFmtId="164" fontId="12" fillId="6" borderId="1" xfId="1" applyFont="1" applyFill="1" applyBorder="1" applyAlignment="1">
      <alignment horizontal="center" vertical="center"/>
    </xf>
    <xf numFmtId="0" fontId="11" fillId="7" borderId="1" xfId="11" applyFont="1" applyFill="1" applyBorder="1" applyAlignment="1">
      <alignment horizontal="left"/>
    </xf>
    <xf numFmtId="0" fontId="12" fillId="0" borderId="1" xfId="11" applyFont="1" applyBorder="1" applyAlignment="1">
      <alignment horizontal="center" vertical="center"/>
    </xf>
    <xf numFmtId="0" fontId="11" fillId="0" borderId="7" xfId="11" applyFont="1" applyBorder="1" applyAlignment="1">
      <alignment horizontal="left" vertical="center" wrapText="1"/>
    </xf>
    <xf numFmtId="0" fontId="11" fillId="0" borderId="8" xfId="11" applyFont="1" applyBorder="1" applyAlignment="1">
      <alignment horizontal="center" vertical="center"/>
    </xf>
    <xf numFmtId="3" fontId="11" fillId="7" borderId="8" xfId="1" applyNumberFormat="1" applyFont="1" applyFill="1" applyBorder="1" applyAlignment="1">
      <alignment horizontal="center" vertical="center" wrapText="1"/>
    </xf>
    <xf numFmtId="164" fontId="11" fillId="7" borderId="8" xfId="1" applyFont="1" applyFill="1" applyBorder="1" applyAlignment="1">
      <alignment horizontal="center" vertical="center" wrapText="1"/>
    </xf>
    <xf numFmtId="0" fontId="12" fillId="5" borderId="1" xfId="12" applyFont="1" applyFill="1" applyBorder="1" applyAlignment="1">
      <alignment horizontal="left" vertical="top" wrapText="1"/>
    </xf>
    <xf numFmtId="0" fontId="11" fillId="0" borderId="1" xfId="12" applyFont="1" applyBorder="1" applyAlignment="1">
      <alignment horizontal="left"/>
    </xf>
    <xf numFmtId="3" fontId="11" fillId="0" borderId="1" xfId="1" applyNumberFormat="1" applyFont="1" applyFill="1" applyBorder="1" applyAlignment="1">
      <alignment horizontal="center" vertical="center" wrapText="1"/>
    </xf>
    <xf numFmtId="3" fontId="12" fillId="6" borderId="1" xfId="1" applyNumberFormat="1" applyFont="1" applyFill="1" applyBorder="1" applyAlignment="1">
      <alignment horizontal="center" vertical="center" wrapText="1"/>
    </xf>
    <xf numFmtId="3" fontId="11" fillId="0" borderId="8" xfId="1" applyNumberFormat="1" applyFont="1" applyFill="1" applyBorder="1" applyAlignment="1">
      <alignment horizontal="center" vertical="center" wrapText="1"/>
    </xf>
    <xf numFmtId="0" fontId="12" fillId="5" borderId="7" xfId="11" applyFont="1" applyFill="1" applyBorder="1" applyAlignment="1">
      <alignment horizontal="left" vertical="top" wrapText="1"/>
    </xf>
    <xf numFmtId="3" fontId="11" fillId="5" borderId="8" xfId="1" applyNumberFormat="1" applyFont="1" applyFill="1" applyBorder="1" applyAlignment="1">
      <alignment horizontal="center"/>
    </xf>
    <xf numFmtId="0" fontId="12" fillId="5" borderId="1" xfId="11" applyFont="1" applyFill="1" applyBorder="1" applyAlignment="1">
      <alignment horizontal="left" vertical="top" wrapText="1"/>
    </xf>
    <xf numFmtId="3" fontId="12" fillId="5" borderId="1" xfId="1" applyNumberFormat="1" applyFont="1" applyFill="1" applyBorder="1" applyAlignment="1">
      <alignment horizontal="center"/>
    </xf>
    <xf numFmtId="3" fontId="12" fillId="7" borderId="1" xfId="1" applyNumberFormat="1" applyFont="1" applyFill="1" applyBorder="1" applyAlignment="1">
      <alignment horizontal="center"/>
    </xf>
    <xf numFmtId="3" fontId="12" fillId="0" borderId="1" xfId="1" applyNumberFormat="1" applyFont="1" applyFill="1" applyBorder="1" applyAlignment="1">
      <alignment horizontal="center" vertical="center"/>
    </xf>
    <xf numFmtId="0" fontId="15" fillId="7" borderId="1" xfId="11" applyFont="1" applyFill="1" applyBorder="1" applyAlignment="1">
      <alignment horizontal="center" vertical="center"/>
    </xf>
    <xf numFmtId="0" fontId="15" fillId="7" borderId="5" xfId="11" applyFont="1" applyFill="1" applyBorder="1" applyAlignment="1">
      <alignment horizontal="center"/>
    </xf>
    <xf numFmtId="3" fontId="15" fillId="7" borderId="5" xfId="1" applyNumberFormat="1" applyFont="1" applyFill="1" applyBorder="1" applyAlignment="1">
      <alignment horizontal="center" vertical="center" wrapText="1"/>
    </xf>
    <xf numFmtId="0" fontId="12" fillId="5" borderId="1" xfId="11" applyFont="1" applyFill="1" applyBorder="1" applyAlignment="1">
      <alignment horizontal="center"/>
    </xf>
    <xf numFmtId="0" fontId="11" fillId="7" borderId="1" xfId="11" applyFont="1" applyFill="1" applyBorder="1" applyAlignment="1">
      <alignment horizontal="center" vertical="center" wrapText="1"/>
    </xf>
    <xf numFmtId="3" fontId="12" fillId="7" borderId="1" xfId="1" applyNumberFormat="1" applyFont="1" applyFill="1" applyBorder="1" applyAlignment="1">
      <alignment horizontal="center" vertical="center" wrapText="1"/>
    </xf>
    <xf numFmtId="3" fontId="12" fillId="7" borderId="8" xfId="1" applyNumberFormat="1" applyFont="1" applyFill="1" applyBorder="1" applyAlignment="1">
      <alignment horizontal="center" vertical="center" wrapText="1"/>
    </xf>
    <xf numFmtId="0" fontId="12" fillId="7" borderId="7" xfId="11" applyFont="1" applyFill="1" applyBorder="1" applyAlignment="1">
      <alignment horizontal="left"/>
    </xf>
    <xf numFmtId="0" fontId="12" fillId="7" borderId="1" xfId="11" applyFont="1" applyFill="1" applyBorder="1" applyAlignment="1">
      <alignment horizontal="center" wrapText="1"/>
    </xf>
    <xf numFmtId="0" fontId="12" fillId="7" borderId="1" xfId="11" applyFont="1" applyFill="1" applyBorder="1" applyAlignment="1">
      <alignment horizontal="center"/>
    </xf>
    <xf numFmtId="166" fontId="12" fillId="7" borderId="1" xfId="5" applyNumberFormat="1" applyFont="1" applyFill="1" applyBorder="1" applyAlignment="1">
      <alignment horizontal="center" vertical="center"/>
    </xf>
    <xf numFmtId="0" fontId="12" fillId="7" borderId="8" xfId="11" applyFont="1" applyFill="1" applyBorder="1" applyAlignment="1">
      <alignment horizontal="center" wrapText="1"/>
    </xf>
    <xf numFmtId="166" fontId="11" fillId="7" borderId="1" xfId="5" applyNumberFormat="1" applyFont="1" applyFill="1" applyBorder="1" applyAlignment="1">
      <alignment horizontal="center"/>
    </xf>
    <xf numFmtId="167" fontId="11" fillId="7" borderId="1" xfId="5" applyNumberFormat="1" applyFont="1" applyFill="1" applyBorder="1" applyAlignment="1">
      <alignment horizontal="center"/>
    </xf>
    <xf numFmtId="168" fontId="11" fillId="7" borderId="1" xfId="1" applyNumberFormat="1" applyFont="1" applyFill="1" applyBorder="1" applyAlignment="1">
      <alignment horizont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1" fillId="6" borderId="1" xfId="11" applyFont="1" applyFill="1" applyBorder="1" applyAlignment="1">
      <alignment horizontal="center" vertical="center"/>
    </xf>
    <xf numFmtId="3" fontId="11" fillId="7" borderId="9" xfId="1" applyNumberFormat="1" applyFont="1" applyFill="1" applyBorder="1" applyAlignment="1">
      <alignment horizontal="center" vertical="center"/>
    </xf>
    <xf numFmtId="164" fontId="11" fillId="7" borderId="1" xfId="1" applyFont="1" applyFill="1" applyBorder="1" applyAlignment="1">
      <alignment horizontal="center"/>
    </xf>
    <xf numFmtId="164" fontId="12" fillId="6" borderId="1" xfId="1" applyFont="1" applyFill="1" applyBorder="1" applyAlignment="1">
      <alignment horizontal="center"/>
    </xf>
    <xf numFmtId="3" fontId="11" fillId="0" borderId="9" xfId="1" applyNumberFormat="1" applyFont="1" applyFill="1" applyBorder="1" applyAlignment="1">
      <alignment horizontal="center" vertical="center" wrapText="1"/>
    </xf>
    <xf numFmtId="3" fontId="11" fillId="5" borderId="1" xfId="1" applyNumberFormat="1" applyFont="1" applyFill="1" applyBorder="1" applyAlignment="1">
      <alignment horizontal="center" vertical="center" wrapText="1"/>
    </xf>
    <xf numFmtId="164" fontId="11" fillId="10" borderId="1" xfId="1" applyFont="1" applyFill="1" applyBorder="1" applyAlignment="1" applyProtection="1">
      <alignment horizontal="center" vertical="center"/>
    </xf>
    <xf numFmtId="49" fontId="11" fillId="0" borderId="1" xfId="12" applyNumberFormat="1" applyFont="1" applyBorder="1" applyAlignment="1">
      <alignment horizontal="left"/>
    </xf>
    <xf numFmtId="3" fontId="11" fillId="5" borderId="9" xfId="1" applyNumberFormat="1" applyFont="1" applyFill="1" applyBorder="1" applyAlignment="1">
      <alignment horizontal="center"/>
    </xf>
    <xf numFmtId="3" fontId="11" fillId="7" borderId="15" xfId="1" applyNumberFormat="1" applyFont="1" applyFill="1" applyBorder="1" applyAlignment="1">
      <alignment horizontal="center" vertical="center"/>
    </xf>
    <xf numFmtId="0" fontId="15" fillId="7" borderId="5" xfId="11" applyFont="1" applyFill="1" applyBorder="1" applyAlignment="1">
      <alignment horizontal="center" vertical="center"/>
    </xf>
    <xf numFmtId="0" fontId="15" fillId="7" borderId="3" xfId="11" applyFont="1" applyFill="1" applyBorder="1" applyAlignment="1">
      <alignment horizontal="center" vertical="center"/>
    </xf>
    <xf numFmtId="3" fontId="11" fillId="7" borderId="9" xfId="1" applyNumberFormat="1" applyFont="1" applyFill="1" applyBorder="1" applyAlignment="1">
      <alignment horizontal="center" vertical="center" wrapText="1"/>
    </xf>
    <xf numFmtId="0" fontId="9" fillId="2" borderId="0" xfId="0" applyFont="1" applyFill="1"/>
    <xf numFmtId="3" fontId="11" fillId="7" borderId="0" xfId="1" applyNumberFormat="1" applyFont="1" applyFill="1" applyBorder="1" applyAlignment="1">
      <alignment horizontal="center"/>
    </xf>
    <xf numFmtId="3" fontId="12" fillId="7" borderId="0" xfId="1" applyNumberFormat="1" applyFont="1" applyFill="1" applyBorder="1" applyAlignment="1">
      <alignment horizontal="center"/>
    </xf>
    <xf numFmtId="3" fontId="11" fillId="7" borderId="0" xfId="1" applyNumberFormat="1" applyFont="1" applyFill="1" applyBorder="1" applyAlignment="1">
      <alignment horizontal="center" vertical="center" wrapText="1"/>
    </xf>
    <xf numFmtId="0" fontId="11" fillId="7" borderId="0" xfId="11" applyFont="1" applyFill="1">
      <alignment vertical="center"/>
    </xf>
    <xf numFmtId="3" fontId="12" fillId="7" borderId="0" xfId="1" applyNumberFormat="1" applyFont="1" applyFill="1" applyBorder="1" applyAlignment="1">
      <alignment horizontal="center" vertical="center" wrapText="1"/>
    </xf>
    <xf numFmtId="0" fontId="12" fillId="7" borderId="0" xfId="11" applyFont="1" applyFill="1">
      <alignment vertical="center"/>
    </xf>
    <xf numFmtId="0" fontId="11" fillId="7" borderId="0" xfId="11" applyFont="1" applyFill="1" applyAlignment="1">
      <alignment vertical="top"/>
    </xf>
    <xf numFmtId="3" fontId="15" fillId="7" borderId="0" xfId="1" applyNumberFormat="1" applyFont="1" applyFill="1" applyBorder="1" applyAlignment="1">
      <alignment horizontal="center" vertical="center" wrapText="1"/>
    </xf>
    <xf numFmtId="0" fontId="15" fillId="7" borderId="0" xfId="11" applyFont="1" applyFill="1">
      <alignment vertical="center"/>
    </xf>
    <xf numFmtId="0" fontId="11" fillId="7" borderId="0" xfId="11" applyFont="1" applyFill="1" applyAlignment="1">
      <alignment horizontal="center"/>
    </xf>
    <xf numFmtId="0" fontId="11" fillId="7" borderId="16" xfId="11" applyFont="1" applyFill="1" applyBorder="1" applyAlignment="1">
      <alignment vertical="top" wrapText="1"/>
    </xf>
    <xf numFmtId="3" fontId="11" fillId="7" borderId="14" xfId="1" applyNumberFormat="1" applyFont="1" applyFill="1" applyBorder="1" applyAlignment="1">
      <alignment horizontal="center" vertical="center"/>
    </xf>
    <xf numFmtId="0" fontId="11" fillId="7" borderId="17" xfId="11" applyFont="1" applyFill="1" applyBorder="1" applyAlignment="1">
      <alignment vertical="top" wrapText="1"/>
    </xf>
    <xf numFmtId="3" fontId="12" fillId="7" borderId="5" xfId="1" applyNumberFormat="1" applyFont="1" applyFill="1" applyBorder="1" applyAlignment="1">
      <alignment horizontal="center" vertical="center" wrapText="1"/>
    </xf>
    <xf numFmtId="43" fontId="12" fillId="7" borderId="5" xfId="4" applyFont="1" applyFill="1" applyBorder="1" applyAlignment="1">
      <alignment horizontal="center" vertical="center" wrapText="1"/>
    </xf>
    <xf numFmtId="164" fontId="11" fillId="2" borderId="1" xfId="1" applyFont="1" applyFill="1" applyBorder="1" applyAlignment="1" applyProtection="1">
      <alignment horizontal="center" vertical="center"/>
    </xf>
    <xf numFmtId="0" fontId="7" fillId="0" borderId="0" xfId="14" applyFont="1"/>
    <xf numFmtId="0" fontId="0" fillId="7" borderId="1" xfId="0" applyFill="1" applyBorder="1"/>
    <xf numFmtId="0" fontId="3" fillId="4" borderId="1" xfId="0" quotePrefix="1" applyFont="1" applyFill="1" applyBorder="1" applyAlignment="1">
      <alignment horizontal="center" vertical="center"/>
    </xf>
    <xf numFmtId="0" fontId="4" fillId="0" borderId="1" xfId="0" applyFont="1" applyBorder="1"/>
    <xf numFmtId="164" fontId="11" fillId="3" borderId="1" xfId="1" applyFont="1" applyFill="1" applyBorder="1" applyAlignment="1">
      <alignment horizontal="center" vertical="center"/>
    </xf>
    <xf numFmtId="164" fontId="11" fillId="3" borderId="1" xfId="11" applyNumberFormat="1" applyFont="1" applyFill="1" applyBorder="1" applyAlignment="1">
      <alignment horizontal="center"/>
    </xf>
    <xf numFmtId="0" fontId="22" fillId="3" borderId="20" xfId="0" applyFont="1" applyFill="1" applyBorder="1"/>
    <xf numFmtId="3" fontId="22" fillId="2" borderId="21" xfId="0" applyNumberFormat="1" applyFont="1" applyFill="1" applyBorder="1" applyAlignment="1">
      <alignment horizontal="right"/>
    </xf>
    <xf numFmtId="0" fontId="22" fillId="2" borderId="21" xfId="0" applyFont="1" applyFill="1" applyBorder="1" applyAlignment="1">
      <alignment horizontal="right"/>
    </xf>
    <xf numFmtId="0" fontId="9" fillId="3" borderId="1" xfId="11" applyFont="1" applyFill="1" applyBorder="1" applyAlignment="1">
      <alignment horizontal="center" vertical="center"/>
    </xf>
    <xf numFmtId="0" fontId="7" fillId="2" borderId="0" xfId="0" applyFont="1" applyFill="1"/>
    <xf numFmtId="0" fontId="7" fillId="3" borderId="0" xfId="0" applyFont="1" applyFill="1"/>
    <xf numFmtId="0" fontId="2" fillId="0" borderId="1" xfId="0" applyFont="1" applyBorder="1"/>
    <xf numFmtId="0" fontId="21" fillId="2" borderId="1" xfId="0" applyFont="1" applyFill="1" applyBorder="1" applyAlignment="1">
      <alignment horizontal="right"/>
    </xf>
    <xf numFmtId="0" fontId="23" fillId="2" borderId="1" xfId="0" applyFont="1" applyFill="1" applyBorder="1"/>
    <xf numFmtId="0" fontId="7" fillId="7" borderId="1" xfId="0" applyFont="1" applyFill="1" applyBorder="1"/>
    <xf numFmtId="0" fontId="7" fillId="7" borderId="1" xfId="0" applyFont="1" applyFill="1" applyBorder="1" applyAlignment="1">
      <alignment horizontal="center"/>
    </xf>
    <xf numFmtId="3" fontId="7" fillId="12" borderId="10" xfId="0" applyNumberFormat="1" applyFont="1" applyFill="1" applyBorder="1" applyAlignment="1">
      <alignment horizontal="center"/>
    </xf>
    <xf numFmtId="0" fontId="11" fillId="7" borderId="10" xfId="0" applyFont="1" applyFill="1" applyBorder="1" applyAlignment="1">
      <alignment vertical="top" wrapText="1"/>
    </xf>
    <xf numFmtId="0" fontId="7" fillId="12" borderId="10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left"/>
    </xf>
    <xf numFmtId="164" fontId="11" fillId="7" borderId="1" xfId="11" applyNumberFormat="1" applyFont="1" applyFill="1" applyBorder="1" applyAlignment="1">
      <alignment horizontal="center"/>
    </xf>
    <xf numFmtId="41" fontId="0" fillId="3" borderId="1" xfId="0" applyNumberFormat="1" applyFill="1" applyBorder="1"/>
    <xf numFmtId="41" fontId="20" fillId="2" borderId="1" xfId="0" applyNumberFormat="1" applyFont="1" applyFill="1" applyBorder="1"/>
    <xf numFmtId="41" fontId="20" fillId="0" borderId="1" xfId="0" applyNumberFormat="1" applyFont="1" applyBorder="1"/>
    <xf numFmtId="41" fontId="0" fillId="0" borderId="1" xfId="0" applyNumberFormat="1" applyBorder="1"/>
    <xf numFmtId="41" fontId="0" fillId="2" borderId="1" xfId="0" applyNumberFormat="1" applyFill="1" applyBorder="1"/>
    <xf numFmtId="41" fontId="20" fillId="7" borderId="1" xfId="0" applyNumberFormat="1" applyFont="1" applyFill="1" applyBorder="1"/>
    <xf numFmtId="0" fontId="0" fillId="14" borderId="1" xfId="0" applyFill="1" applyBorder="1"/>
    <xf numFmtId="41" fontId="0" fillId="14" borderId="1" xfId="0" applyNumberFormat="1" applyFill="1" applyBorder="1"/>
    <xf numFmtId="0" fontId="0" fillId="15" borderId="1" xfId="0" applyFill="1" applyBorder="1"/>
    <xf numFmtId="41" fontId="0" fillId="15" borderId="1" xfId="0" applyNumberFormat="1" applyFill="1" applyBorder="1"/>
    <xf numFmtId="0" fontId="21" fillId="2" borderId="1" xfId="0" applyFont="1" applyFill="1" applyBorder="1" applyAlignment="1">
      <alignment horizontal="center" vertical="center"/>
    </xf>
    <xf numFmtId="0" fontId="21" fillId="2" borderId="1" xfId="0" applyFont="1" applyFill="1" applyBorder="1"/>
    <xf numFmtId="0" fontId="1" fillId="2" borderId="1" xfId="0" applyFont="1" applyFill="1" applyBorder="1"/>
    <xf numFmtId="0" fontId="24" fillId="2" borderId="1" xfId="0" applyFont="1" applyFill="1" applyBorder="1"/>
    <xf numFmtId="0" fontId="1" fillId="0" borderId="1" xfId="0" applyFont="1" applyBorder="1"/>
    <xf numFmtId="41" fontId="24" fillId="2" borderId="1" xfId="0" applyNumberFormat="1" applyFont="1" applyFill="1" applyBorder="1"/>
    <xf numFmtId="41" fontId="21" fillId="2" borderId="1" xfId="0" applyNumberFormat="1" applyFont="1" applyFill="1" applyBorder="1"/>
    <xf numFmtId="164" fontId="11" fillId="13" borderId="1" xfId="1" applyFont="1" applyFill="1" applyBorder="1" applyAlignment="1">
      <alignment horizontal="center" vertical="center"/>
    </xf>
    <xf numFmtId="164" fontId="11" fillId="6" borderId="1" xfId="1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6" borderId="1" xfId="0" applyFill="1" applyBorder="1"/>
    <xf numFmtId="41" fontId="0" fillId="6" borderId="1" xfId="0" applyNumberFormat="1" applyFill="1" applyBorder="1"/>
    <xf numFmtId="0" fontId="21" fillId="6" borderId="1" xfId="0" applyFont="1" applyFill="1" applyBorder="1"/>
    <xf numFmtId="41" fontId="21" fillId="6" borderId="1" xfId="0" applyNumberFormat="1" applyFont="1" applyFill="1" applyBorder="1"/>
    <xf numFmtId="41" fontId="24" fillId="6" borderId="1" xfId="0" applyNumberFormat="1" applyFont="1" applyFill="1" applyBorder="1"/>
    <xf numFmtId="41" fontId="20" fillId="3" borderId="1" xfId="0" applyNumberFormat="1" applyFont="1" applyFill="1" applyBorder="1"/>
    <xf numFmtId="41" fontId="20" fillId="6" borderId="1" xfId="0" applyNumberFormat="1" applyFont="1" applyFill="1" applyBorder="1"/>
    <xf numFmtId="0" fontId="1" fillId="7" borderId="1" xfId="0" applyFont="1" applyFill="1" applyBorder="1"/>
    <xf numFmtId="164" fontId="9" fillId="3" borderId="0" xfId="0" applyNumberFormat="1" applyFont="1" applyFill="1"/>
    <xf numFmtId="0" fontId="11" fillId="7" borderId="1" xfId="11" applyFont="1" applyFill="1" applyBorder="1" applyAlignment="1">
      <alignment vertical="center" wrapText="1"/>
    </xf>
    <xf numFmtId="41" fontId="11" fillId="7" borderId="1" xfId="11" applyNumberFormat="1" applyFont="1" applyFill="1" applyBorder="1" applyAlignment="1">
      <alignment horizontal="center" vertical="center"/>
    </xf>
    <xf numFmtId="0" fontId="5" fillId="11" borderId="22" xfId="0" applyFont="1" applyFill="1" applyBorder="1" applyAlignment="1">
      <alignment horizontal="center" vertical="center"/>
    </xf>
    <xf numFmtId="0" fontId="11" fillId="0" borderId="1" xfId="11" applyFont="1" applyBorder="1">
      <alignment vertical="center"/>
    </xf>
    <xf numFmtId="3" fontId="12" fillId="0" borderId="5" xfId="1" applyNumberFormat="1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top" wrapText="1"/>
    </xf>
    <xf numFmtId="41" fontId="11" fillId="0" borderId="1" xfId="11" applyNumberFormat="1" applyFont="1" applyBorder="1" applyAlignment="1">
      <alignment horizontal="center" vertical="center"/>
    </xf>
    <xf numFmtId="0" fontId="7" fillId="12" borderId="1" xfId="0" applyFont="1" applyFill="1" applyBorder="1" applyAlignment="1">
      <alignment horizontal="center"/>
    </xf>
    <xf numFmtId="0" fontId="5" fillId="0" borderId="1" xfId="7" applyFont="1" applyBorder="1" applyAlignment="1">
      <alignment vertical="center"/>
    </xf>
    <xf numFmtId="0" fontId="7" fillId="2" borderId="1" xfId="0" applyFont="1" applyFill="1" applyBorder="1"/>
    <xf numFmtId="41" fontId="11" fillId="0" borderId="1" xfId="3" applyFont="1" applyFill="1" applyBorder="1" applyAlignment="1">
      <alignment horizontal="center" vertical="center"/>
    </xf>
    <xf numFmtId="41" fontId="11" fillId="6" borderId="1" xfId="11" applyNumberFormat="1" applyFont="1" applyFill="1" applyBorder="1" applyAlignment="1">
      <alignment horizontal="center" vertical="center"/>
    </xf>
    <xf numFmtId="3" fontId="12" fillId="0" borderId="1" xfId="1" applyNumberFormat="1" applyFont="1" applyFill="1" applyBorder="1" applyAlignment="1">
      <alignment horizontal="center" vertical="center" wrapText="1"/>
    </xf>
    <xf numFmtId="3" fontId="12" fillId="5" borderId="1" xfId="1" applyNumberFormat="1" applyFont="1" applyFill="1" applyBorder="1" applyAlignment="1">
      <alignment horizontal="center" vertical="center" wrapText="1"/>
    </xf>
    <xf numFmtId="164" fontId="7" fillId="0" borderId="0" xfId="1" applyFont="1"/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1" fillId="2" borderId="7" xfId="0" applyFont="1" applyFill="1" applyBorder="1" applyAlignment="1">
      <alignment horizontal="center"/>
    </xf>
    <xf numFmtId="0" fontId="21" fillId="2" borderId="9" xfId="0" applyFont="1" applyFill="1" applyBorder="1" applyAlignment="1">
      <alignment horizontal="center"/>
    </xf>
    <xf numFmtId="0" fontId="22" fillId="2" borderId="18" xfId="0" applyFont="1" applyFill="1" applyBorder="1" applyAlignment="1">
      <alignment horizontal="center"/>
    </xf>
    <xf numFmtId="0" fontId="22" fillId="2" borderId="19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5">
    <cellStyle name="Comma [0]" xfId="1" builtinId="6"/>
    <cellStyle name="Comma [0] 2" xfId="2" xr:uid="{00000000-0005-0000-0000-000001000000}"/>
    <cellStyle name="Comma [0] 2 2" xfId="18" xr:uid="{00000000-0005-0000-0000-000002000000}"/>
    <cellStyle name="Comma [0] 3" xfId="3" xr:uid="{00000000-0005-0000-0000-000003000000}"/>
    <cellStyle name="Comma [0] 3 2" xfId="23" xr:uid="{00000000-0005-0000-0000-000004000000}"/>
    <cellStyle name="Comma [0] 4" xfId="15" xr:uid="{00000000-0005-0000-0000-000005000000}"/>
    <cellStyle name="Comma 4" xfId="4" xr:uid="{00000000-0005-0000-0000-000006000000}"/>
    <cellStyle name="Comma 4 2" xfId="16" xr:uid="{00000000-0005-0000-0000-000007000000}"/>
    <cellStyle name="Currency [0] 2" xfId="5" xr:uid="{00000000-0005-0000-0000-000008000000}"/>
    <cellStyle name="Currency [0] 2 2" xfId="24" xr:uid="{00000000-0005-0000-0000-000009000000}"/>
    <cellStyle name="Normal" xfId="0" builtinId="0"/>
    <cellStyle name="Normal 2" xfId="6" xr:uid="{00000000-0005-0000-0000-00000B000000}"/>
    <cellStyle name="Normal 2 2" xfId="7" xr:uid="{00000000-0005-0000-0000-00000C000000}"/>
    <cellStyle name="Normal 2 2 2" xfId="19" xr:uid="{00000000-0005-0000-0000-00000D000000}"/>
    <cellStyle name="Normal 2 3 2" xfId="8" xr:uid="{00000000-0005-0000-0000-00000E000000}"/>
    <cellStyle name="Normal 2 3 2 2" xfId="9" xr:uid="{00000000-0005-0000-0000-00000F000000}"/>
    <cellStyle name="Normal 2 3 2 2 2" xfId="20" xr:uid="{00000000-0005-0000-0000-000010000000}"/>
    <cellStyle name="Normal 2 3 2 3" xfId="17" xr:uid="{00000000-0005-0000-0000-000011000000}"/>
    <cellStyle name="Normal 3" xfId="14" xr:uid="{00000000-0005-0000-0000-000012000000}"/>
    <cellStyle name="Normal 3 3" xfId="10" xr:uid="{00000000-0005-0000-0000-000013000000}"/>
    <cellStyle name="Normal 3 3 2" xfId="21" xr:uid="{00000000-0005-0000-0000-000014000000}"/>
    <cellStyle name="Normal 4" xfId="11" xr:uid="{00000000-0005-0000-0000-000015000000}"/>
    <cellStyle name="Normal 4 4" xfId="12" xr:uid="{00000000-0005-0000-0000-000016000000}"/>
    <cellStyle name="常规 9 2" xfId="13" xr:uid="{00000000-0005-0000-0000-000017000000}"/>
    <cellStyle name="常规 9 2 2" xfId="22" xr:uid="{00000000-0005-0000-0000-000018000000}"/>
  </cellStyles>
  <dxfs count="2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F6" sqref="F6"/>
    </sheetView>
  </sheetViews>
  <sheetFormatPr defaultRowHeight="15"/>
  <cols>
    <col min="1" max="1" width="18.5703125" bestFit="1" customWidth="1"/>
    <col min="2" max="2" width="29.85546875" customWidth="1"/>
  </cols>
  <sheetData>
    <row r="1" spans="1:2" ht="15.75" thickBot="1">
      <c r="A1" s="307" t="s">
        <v>651</v>
      </c>
      <c r="B1" s="308"/>
    </row>
    <row r="2" spans="1:2" ht="15.75" thickBot="1">
      <c r="A2" s="243" t="s">
        <v>649</v>
      </c>
      <c r="B2" s="244">
        <v>7650000</v>
      </c>
    </row>
    <row r="3" spans="1:2" ht="15.75" thickBot="1">
      <c r="A3" s="243" t="s">
        <v>650</v>
      </c>
      <c r="B3" s="245">
        <f>B2+(B2*2.65%)</f>
        <v>7852725</v>
      </c>
    </row>
  </sheetData>
  <mergeCells count="1">
    <mergeCell ref="A1:B1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39"/>
  <sheetViews>
    <sheetView tabSelected="1" view="pageBreakPreview" zoomScaleNormal="115" zoomScaleSheetLayoutView="100" workbookViewId="0">
      <pane ySplit="6" topLeftCell="A7" activePane="bottomLeft" state="frozen"/>
      <selection activeCell="D16" sqref="D16"/>
      <selection pane="bottomLeft" activeCell="D15" sqref="D15"/>
    </sheetView>
  </sheetViews>
  <sheetFormatPr defaultColWidth="8.85546875" defaultRowHeight="12.75"/>
  <cols>
    <col min="1" max="1" width="7.85546875" style="13" customWidth="1"/>
    <col min="2" max="2" width="65.42578125" style="11" customWidth="1"/>
    <col min="3" max="3" width="10.42578125" style="11" customWidth="1"/>
    <col min="4" max="4" width="13.85546875" style="14" customWidth="1"/>
    <col min="5" max="5" width="14.28515625" style="14" bestFit="1" customWidth="1"/>
    <col min="6" max="6" width="16.7109375" style="11" hidden="1" customWidth="1"/>
    <col min="7" max="7" width="16.42578125" style="11" hidden="1" customWidth="1"/>
    <col min="8" max="8" width="23" style="11" hidden="1" customWidth="1"/>
    <col min="9" max="9" width="22.7109375" style="11" hidden="1" customWidth="1"/>
    <col min="10" max="10" width="13.42578125" style="13" hidden="1" customWidth="1"/>
    <col min="11" max="11" width="6.85546875" style="15" hidden="1" customWidth="1"/>
    <col min="12" max="12" width="4.28515625" style="15" hidden="1" customWidth="1"/>
    <col min="13" max="13" width="22.85546875" style="11" hidden="1" customWidth="1"/>
    <col min="14" max="14" width="17.42578125" style="11" customWidth="1"/>
    <col min="15" max="15" width="52.42578125" style="11" customWidth="1"/>
    <col min="16" max="16" width="11.42578125" style="11" customWidth="1"/>
    <col min="17" max="17" width="11.42578125" style="16" customWidth="1"/>
    <col min="18" max="18" width="42.5703125" style="16" customWidth="1"/>
    <col min="19" max="19" width="13.5703125" style="16" bestFit="1" customWidth="1"/>
    <col min="20" max="20" width="15.7109375" style="16" customWidth="1"/>
    <col min="21" max="26" width="8.85546875" style="16"/>
    <col min="27" max="16384" width="8.85546875" style="11"/>
  </cols>
  <sheetData>
    <row r="1" spans="1:26" ht="21">
      <c r="A1" s="17" t="s">
        <v>0</v>
      </c>
      <c r="B1" s="18"/>
      <c r="C1" s="19"/>
      <c r="D1" s="20"/>
      <c r="E1" s="20"/>
      <c r="F1" s="21"/>
      <c r="G1" s="21"/>
      <c r="H1" s="21"/>
      <c r="I1" s="21"/>
      <c r="J1" s="66"/>
      <c r="K1" s="21"/>
      <c r="L1" s="21"/>
      <c r="M1" s="21"/>
      <c r="N1" s="67" t="s">
        <v>1</v>
      </c>
      <c r="O1" s="68"/>
      <c r="P1" s="68"/>
      <c r="Q1" s="96"/>
      <c r="R1" s="97"/>
    </row>
    <row r="2" spans="1:26">
      <c r="A2" s="22" t="s">
        <v>2</v>
      </c>
      <c r="B2" s="23"/>
      <c r="C2" s="21"/>
      <c r="D2" s="20"/>
      <c r="E2" s="20"/>
      <c r="F2" s="21"/>
      <c r="G2" s="21"/>
      <c r="H2" s="21"/>
      <c r="I2" s="21"/>
      <c r="J2" s="66"/>
      <c r="K2" s="21"/>
      <c r="L2" s="21"/>
      <c r="M2" s="21"/>
      <c r="N2" s="69" t="s">
        <v>3</v>
      </c>
      <c r="O2" s="246"/>
      <c r="P2" s="70"/>
      <c r="Q2" s="98"/>
      <c r="R2" s="97"/>
    </row>
    <row r="3" spans="1:26">
      <c r="A3" s="22" t="s">
        <v>728</v>
      </c>
      <c r="B3" s="24"/>
      <c r="C3" s="24"/>
      <c r="D3" s="24"/>
      <c r="E3" s="24"/>
      <c r="F3" s="24"/>
      <c r="G3" s="24"/>
      <c r="H3" s="24"/>
      <c r="I3" s="24"/>
      <c r="J3" s="71"/>
      <c r="K3" s="71"/>
      <c r="L3" s="71"/>
      <c r="M3" s="24"/>
      <c r="N3" s="69" t="s">
        <v>4</v>
      </c>
      <c r="O3" s="246"/>
      <c r="P3" s="73"/>
      <c r="Q3" s="99"/>
      <c r="R3" s="100"/>
      <c r="S3" s="252" t="s">
        <v>743</v>
      </c>
      <c r="T3" s="252"/>
    </row>
    <row r="4" spans="1:26">
      <c r="A4" s="22" t="s">
        <v>727</v>
      </c>
      <c r="B4" s="25"/>
      <c r="C4" s="25"/>
      <c r="D4" s="26"/>
      <c r="E4" s="27"/>
      <c r="F4" s="27"/>
      <c r="G4" s="27"/>
      <c r="H4" s="27"/>
      <c r="I4" s="27"/>
      <c r="J4" s="27"/>
      <c r="K4" s="27"/>
      <c r="L4" s="27"/>
      <c r="M4" s="27"/>
      <c r="N4" s="69" t="s">
        <v>5</v>
      </c>
      <c r="O4" s="72"/>
      <c r="P4" s="74"/>
      <c r="Q4" s="101"/>
      <c r="R4" s="102"/>
      <c r="S4" s="252" t="s">
        <v>744</v>
      </c>
      <c r="T4" s="252"/>
    </row>
    <row r="5" spans="1:26">
      <c r="A5" s="28"/>
      <c r="B5" s="20"/>
      <c r="C5" s="20"/>
      <c r="D5" s="20"/>
      <c r="E5" s="20"/>
      <c r="F5" s="21"/>
      <c r="G5" s="21"/>
      <c r="H5" s="21"/>
      <c r="I5" s="21"/>
      <c r="J5" s="66"/>
      <c r="K5" s="21"/>
      <c r="L5" s="21"/>
      <c r="M5" s="21"/>
      <c r="N5" s="75" t="s">
        <v>6</v>
      </c>
      <c r="O5" s="246"/>
      <c r="P5" s="76"/>
      <c r="Q5" s="103"/>
      <c r="R5" s="97"/>
      <c r="S5" s="252" t="s">
        <v>745</v>
      </c>
      <c r="T5" s="252" t="s">
        <v>746</v>
      </c>
    </row>
    <row r="6" spans="1:26">
      <c r="A6" s="29" t="s">
        <v>7</v>
      </c>
      <c r="B6" s="30" t="s">
        <v>8</v>
      </c>
      <c r="C6" s="31" t="s">
        <v>9</v>
      </c>
      <c r="D6" s="234" t="s">
        <v>10</v>
      </c>
      <c r="E6" s="77" t="s">
        <v>11</v>
      </c>
      <c r="F6" s="77" t="s">
        <v>12</v>
      </c>
      <c r="G6" s="77" t="s">
        <v>13</v>
      </c>
      <c r="H6" s="77" t="s">
        <v>14</v>
      </c>
      <c r="I6" s="77" t="s">
        <v>15</v>
      </c>
      <c r="J6" s="77" t="s">
        <v>16</v>
      </c>
      <c r="K6" s="77"/>
      <c r="L6" s="77"/>
      <c r="M6" s="77" t="s">
        <v>17</v>
      </c>
      <c r="N6" s="235" t="s">
        <v>18</v>
      </c>
      <c r="O6" s="235" t="s">
        <v>19</v>
      </c>
      <c r="P6" s="234" t="s">
        <v>20</v>
      </c>
      <c r="Q6" s="225" t="s">
        <v>21</v>
      </c>
      <c r="R6" s="97"/>
    </row>
    <row r="7" spans="1:26" s="9" customFormat="1">
      <c r="A7" s="32">
        <v>1</v>
      </c>
      <c r="B7" s="33" t="s">
        <v>22</v>
      </c>
      <c r="C7" s="34"/>
      <c r="D7" s="35"/>
      <c r="E7" s="35"/>
      <c r="F7" s="36"/>
      <c r="G7" s="36"/>
      <c r="H7" s="36"/>
      <c r="I7" s="36"/>
      <c r="J7" s="36"/>
      <c r="K7" s="36"/>
      <c r="L7" s="36"/>
      <c r="M7" s="36"/>
      <c r="N7" s="78"/>
      <c r="O7" s="78"/>
      <c r="P7" s="36"/>
      <c r="Q7" s="104"/>
      <c r="R7" s="97"/>
      <c r="S7" s="16"/>
      <c r="T7" s="16"/>
      <c r="U7" s="16"/>
      <c r="V7" s="16"/>
      <c r="W7" s="16"/>
      <c r="X7" s="16"/>
      <c r="Y7" s="16"/>
      <c r="Z7" s="16"/>
    </row>
    <row r="8" spans="1:26">
      <c r="A8" s="37">
        <v>1.1000000000000001</v>
      </c>
      <c r="B8" s="251" t="s">
        <v>660</v>
      </c>
      <c r="C8" s="38" t="s">
        <v>23</v>
      </c>
      <c r="D8" s="39"/>
      <c r="E8" s="241">
        <v>1</v>
      </c>
      <c r="F8" s="40"/>
      <c r="G8" s="289"/>
      <c r="H8" s="49"/>
      <c r="I8" s="49"/>
      <c r="J8" s="49"/>
      <c r="K8" s="39"/>
      <c r="L8" s="79">
        <f>F8+G8</f>
        <v>0</v>
      </c>
      <c r="M8" s="58"/>
      <c r="N8" s="290">
        <v>500004774</v>
      </c>
      <c r="O8" s="80" t="s">
        <v>659</v>
      </c>
      <c r="P8" s="58" t="s">
        <v>24</v>
      </c>
      <c r="Q8" s="104" t="s">
        <v>25</v>
      </c>
      <c r="R8" s="97"/>
    </row>
    <row r="9" spans="1:26">
      <c r="A9" s="37">
        <v>1.2</v>
      </c>
      <c r="B9" s="291" t="s">
        <v>26</v>
      </c>
      <c r="C9" s="38" t="s">
        <v>23</v>
      </c>
      <c r="D9" s="39"/>
      <c r="E9" s="241">
        <v>1</v>
      </c>
      <c r="F9" s="40"/>
      <c r="G9" s="289"/>
      <c r="H9" s="49">
        <f>D9*F9</f>
        <v>0</v>
      </c>
      <c r="I9" s="49"/>
      <c r="J9" s="49"/>
      <c r="K9" s="39">
        <f>D9+E9</f>
        <v>1</v>
      </c>
      <c r="L9" s="79">
        <f>F9+G9</f>
        <v>0</v>
      </c>
      <c r="M9" s="58"/>
      <c r="N9" s="65">
        <v>500003890</v>
      </c>
      <c r="O9" s="80" t="s">
        <v>27</v>
      </c>
      <c r="P9" s="58" t="s">
        <v>24</v>
      </c>
      <c r="Q9" s="104" t="s">
        <v>25</v>
      </c>
      <c r="R9" s="97"/>
    </row>
    <row r="10" spans="1:26" s="10" customFormat="1">
      <c r="A10" s="41" t="s">
        <v>742</v>
      </c>
      <c r="B10" s="42"/>
      <c r="C10" s="43"/>
      <c r="D10" s="82"/>
      <c r="E10" s="45"/>
      <c r="F10" s="44"/>
      <c r="G10" s="44"/>
      <c r="H10" s="45">
        <f>SUM(H8:H8)</f>
        <v>0</v>
      </c>
      <c r="I10" s="81">
        <f>SUM(I8:I8)</f>
        <v>0</v>
      </c>
      <c r="J10" s="82">
        <f>H10+I10</f>
        <v>0</v>
      </c>
      <c r="K10" s="82"/>
      <c r="L10" s="82"/>
      <c r="M10" s="82"/>
      <c r="N10" s="42"/>
      <c r="O10" s="42"/>
      <c r="P10" s="82"/>
      <c r="Q10" s="105"/>
      <c r="R10" s="106"/>
      <c r="S10" s="16"/>
      <c r="T10" s="16"/>
      <c r="U10" s="16"/>
      <c r="V10" s="16"/>
      <c r="W10" s="16"/>
      <c r="X10" s="16"/>
      <c r="Y10" s="16"/>
      <c r="Z10" s="16"/>
    </row>
    <row r="11" spans="1:26">
      <c r="A11" s="46"/>
      <c r="B11" s="47"/>
      <c r="C11" s="48"/>
      <c r="D11" s="292"/>
      <c r="E11" s="188"/>
      <c r="F11" s="49"/>
      <c r="G11" s="49"/>
      <c r="H11" s="50"/>
      <c r="I11" s="83"/>
      <c r="J11" s="83"/>
      <c r="K11" s="83"/>
      <c r="L11" s="83"/>
      <c r="M11" s="83"/>
      <c r="N11" s="84"/>
      <c r="O11" s="84"/>
      <c r="P11" s="77"/>
      <c r="Q11" s="105"/>
      <c r="R11" s="97"/>
    </row>
    <row r="12" spans="1:26" ht="25.5">
      <c r="A12" s="29">
        <v>2</v>
      </c>
      <c r="B12" s="51" t="s">
        <v>28</v>
      </c>
      <c r="C12" s="52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85"/>
      <c r="Q12" s="107"/>
      <c r="R12" s="97"/>
    </row>
    <row r="13" spans="1:26" s="9" customFormat="1">
      <c r="A13" s="32">
        <v>2.1</v>
      </c>
      <c r="B13" s="54" t="s">
        <v>29</v>
      </c>
      <c r="C13" s="55"/>
      <c r="D13" s="35"/>
      <c r="E13" s="35"/>
      <c r="F13" s="56"/>
      <c r="G13" s="56"/>
      <c r="H13" s="56"/>
      <c r="I13" s="56"/>
      <c r="J13" s="56"/>
      <c r="K13" s="56"/>
      <c r="L13" s="56"/>
      <c r="M13" s="56"/>
      <c r="N13" s="86"/>
      <c r="O13" s="86"/>
      <c r="P13" s="36"/>
      <c r="Q13" s="104"/>
      <c r="R13" s="97"/>
      <c r="S13" s="16"/>
      <c r="T13" s="16"/>
      <c r="U13" s="16"/>
      <c r="V13" s="16"/>
      <c r="W13" s="16"/>
      <c r="X13" s="16"/>
      <c r="Y13" s="16"/>
      <c r="Z13" s="16"/>
    </row>
    <row r="14" spans="1:26" ht="12" customHeight="1">
      <c r="A14" s="37" t="s">
        <v>30</v>
      </c>
      <c r="B14" s="57" t="s">
        <v>31</v>
      </c>
      <c r="C14" s="38"/>
      <c r="D14" s="39"/>
      <c r="E14" s="39"/>
      <c r="F14" s="49"/>
      <c r="G14" s="49"/>
      <c r="H14" s="58"/>
      <c r="I14" s="87"/>
      <c r="J14" s="87"/>
      <c r="K14" s="87"/>
      <c r="L14" s="87"/>
      <c r="M14" s="58"/>
      <c r="N14" s="37"/>
      <c r="O14" s="37"/>
      <c r="P14" s="58"/>
      <c r="Q14" s="104"/>
      <c r="R14" s="97"/>
    </row>
    <row r="15" spans="1:26" ht="12" customHeight="1">
      <c r="A15" s="37"/>
      <c r="B15" s="57" t="s">
        <v>32</v>
      </c>
      <c r="C15" s="38" t="s">
        <v>33</v>
      </c>
      <c r="D15" s="241">
        <f>--(IF(T$5="TURNKEY",E16))</f>
        <v>0</v>
      </c>
      <c r="E15" s="39"/>
      <c r="F15" s="40"/>
      <c r="G15" s="59"/>
      <c r="H15" s="39">
        <f t="shared" ref="H15:I20" si="0">D15*F15</f>
        <v>0</v>
      </c>
      <c r="I15" s="39">
        <f t="shared" si="0"/>
        <v>0</v>
      </c>
      <c r="J15" s="39"/>
      <c r="K15" s="39">
        <f t="shared" ref="K15:K20" si="1">D15+E15</f>
        <v>0</v>
      </c>
      <c r="L15" s="39">
        <f t="shared" ref="L15:L20" si="2">F15+G15</f>
        <v>0</v>
      </c>
      <c r="M15" s="141"/>
      <c r="N15" s="37">
        <v>200000100</v>
      </c>
      <c r="O15" s="88" t="s">
        <v>34</v>
      </c>
      <c r="P15" s="58" t="s">
        <v>24</v>
      </c>
      <c r="Q15" s="104" t="s">
        <v>35</v>
      </c>
      <c r="R15" s="97"/>
    </row>
    <row r="16" spans="1:26" ht="12" customHeight="1">
      <c r="A16" s="37"/>
      <c r="B16" s="57" t="s">
        <v>36</v>
      </c>
      <c r="C16" s="38" t="s">
        <v>33</v>
      </c>
      <c r="D16" s="39"/>
      <c r="E16" s="241">
        <f>SUM('BoM CLUSTER UG'!C24:L27)</f>
        <v>0</v>
      </c>
      <c r="F16" s="59"/>
      <c r="G16" s="40"/>
      <c r="H16" s="39">
        <f t="shared" si="0"/>
        <v>0</v>
      </c>
      <c r="I16" s="39">
        <f t="shared" si="0"/>
        <v>0</v>
      </c>
      <c r="J16" s="39"/>
      <c r="K16" s="39">
        <f t="shared" si="1"/>
        <v>0</v>
      </c>
      <c r="L16" s="39">
        <f t="shared" si="2"/>
        <v>0</v>
      </c>
      <c r="M16" s="141"/>
      <c r="N16" s="89">
        <v>500002050</v>
      </c>
      <c r="O16" s="88" t="s">
        <v>37</v>
      </c>
      <c r="P16" s="58" t="s">
        <v>21</v>
      </c>
      <c r="Q16" s="104" t="s">
        <v>25</v>
      </c>
      <c r="R16" s="97"/>
    </row>
    <row r="17" spans="1:18" ht="12" customHeight="1">
      <c r="A17" s="37"/>
      <c r="B17" s="57" t="s">
        <v>38</v>
      </c>
      <c r="C17" s="38" t="s">
        <v>33</v>
      </c>
      <c r="D17" s="241">
        <f>--(IF(T$5="TURNKEY",E18))</f>
        <v>0</v>
      </c>
      <c r="E17" s="39"/>
      <c r="F17" s="59"/>
      <c r="G17" s="59"/>
      <c r="H17" s="39">
        <f t="shared" si="0"/>
        <v>0</v>
      </c>
      <c r="I17" s="39">
        <f t="shared" si="0"/>
        <v>0</v>
      </c>
      <c r="J17" s="39"/>
      <c r="K17" s="39">
        <f t="shared" si="1"/>
        <v>0</v>
      </c>
      <c r="L17" s="39">
        <f t="shared" si="2"/>
        <v>0</v>
      </c>
      <c r="M17" s="141"/>
      <c r="N17" s="37">
        <v>200000975</v>
      </c>
      <c r="O17" s="90" t="s">
        <v>39</v>
      </c>
      <c r="P17" s="58" t="s">
        <v>24</v>
      </c>
      <c r="Q17" s="104" t="s">
        <v>35</v>
      </c>
      <c r="R17" s="97"/>
    </row>
    <row r="18" spans="1:18" ht="12" customHeight="1">
      <c r="A18" s="37"/>
      <c r="B18" s="57" t="s">
        <v>40</v>
      </c>
      <c r="C18" s="38" t="s">
        <v>33</v>
      </c>
      <c r="D18" s="39"/>
      <c r="E18" s="241">
        <f>SUM('BoM CLUSTER UG'!C28:L31)</f>
        <v>0</v>
      </c>
      <c r="F18" s="59"/>
      <c r="G18" s="59"/>
      <c r="H18" s="39">
        <f t="shared" si="0"/>
        <v>0</v>
      </c>
      <c r="I18" s="39">
        <f t="shared" si="0"/>
        <v>0</v>
      </c>
      <c r="J18" s="39"/>
      <c r="K18" s="39">
        <f t="shared" si="1"/>
        <v>0</v>
      </c>
      <c r="L18" s="39">
        <f t="shared" si="2"/>
        <v>0</v>
      </c>
      <c r="M18" s="141"/>
      <c r="N18" s="89">
        <v>500002051</v>
      </c>
      <c r="O18" s="90" t="s">
        <v>41</v>
      </c>
      <c r="P18" s="58" t="s">
        <v>21</v>
      </c>
      <c r="Q18" s="104" t="s">
        <v>25</v>
      </c>
      <c r="R18" s="97"/>
    </row>
    <row r="19" spans="1:18" ht="12" customHeight="1">
      <c r="A19" s="37"/>
      <c r="B19" s="57" t="s">
        <v>42</v>
      </c>
      <c r="C19" s="38" t="s">
        <v>33</v>
      </c>
      <c r="D19" s="241">
        <f>--(IF(T$5="TURNKEY",E20))</f>
        <v>0</v>
      </c>
      <c r="E19" s="39"/>
      <c r="F19" s="40"/>
      <c r="G19" s="59"/>
      <c r="H19" s="39">
        <f t="shared" si="0"/>
        <v>0</v>
      </c>
      <c r="I19" s="39">
        <f t="shared" si="0"/>
        <v>0</v>
      </c>
      <c r="J19" s="39"/>
      <c r="K19" s="39">
        <f t="shared" si="1"/>
        <v>0</v>
      </c>
      <c r="L19" s="39">
        <f t="shared" si="2"/>
        <v>0</v>
      </c>
      <c r="M19" s="141"/>
      <c r="N19" s="89">
        <v>200001038</v>
      </c>
      <c r="O19" s="90" t="s">
        <v>43</v>
      </c>
      <c r="P19" s="58" t="s">
        <v>24</v>
      </c>
      <c r="Q19" s="104" t="s">
        <v>35</v>
      </c>
      <c r="R19" s="97"/>
    </row>
    <row r="20" spans="1:18" ht="12" customHeight="1">
      <c r="A20" s="37"/>
      <c r="B20" s="57" t="s">
        <v>44</v>
      </c>
      <c r="C20" s="38" t="s">
        <v>33</v>
      </c>
      <c r="D20" s="39"/>
      <c r="E20" s="241">
        <f>SUM('BoM CLUSTER UG'!C32:L35)</f>
        <v>0</v>
      </c>
      <c r="F20" s="59"/>
      <c r="G20" s="40"/>
      <c r="H20" s="39">
        <f t="shared" si="0"/>
        <v>0</v>
      </c>
      <c r="I20" s="39">
        <f t="shared" si="0"/>
        <v>0</v>
      </c>
      <c r="J20" s="39"/>
      <c r="K20" s="39">
        <f t="shared" si="1"/>
        <v>0</v>
      </c>
      <c r="L20" s="39">
        <f t="shared" si="2"/>
        <v>0</v>
      </c>
      <c r="M20" s="141"/>
      <c r="N20" s="89">
        <v>500002052</v>
      </c>
      <c r="O20" s="90" t="s">
        <v>45</v>
      </c>
      <c r="P20" s="58" t="s">
        <v>21</v>
      </c>
      <c r="Q20" s="104" t="s">
        <v>25</v>
      </c>
      <c r="R20" s="97"/>
    </row>
    <row r="21" spans="1:18" ht="12" customHeight="1">
      <c r="A21" s="37"/>
      <c r="B21" s="57" t="s">
        <v>46</v>
      </c>
      <c r="C21" s="38" t="s">
        <v>33</v>
      </c>
      <c r="D21" s="276"/>
      <c r="E21" s="39"/>
      <c r="F21" s="59"/>
      <c r="G21" s="40"/>
      <c r="H21" s="39"/>
      <c r="I21" s="39"/>
      <c r="J21" s="39"/>
      <c r="K21" s="39"/>
      <c r="L21" s="39"/>
      <c r="M21" s="141"/>
      <c r="N21" s="89">
        <v>200001970</v>
      </c>
      <c r="O21" s="90" t="s">
        <v>47</v>
      </c>
      <c r="P21" s="58" t="s">
        <v>24</v>
      </c>
      <c r="Q21" s="104" t="s">
        <v>35</v>
      </c>
      <c r="R21" s="97"/>
    </row>
    <row r="22" spans="1:18" ht="12" customHeight="1">
      <c r="A22" s="37"/>
      <c r="B22" s="57" t="s">
        <v>48</v>
      </c>
      <c r="C22" s="38" t="s">
        <v>33</v>
      </c>
      <c r="D22" s="39"/>
      <c r="E22" s="276"/>
      <c r="F22" s="59"/>
      <c r="G22" s="40"/>
      <c r="H22" s="39"/>
      <c r="I22" s="39"/>
      <c r="J22" s="39"/>
      <c r="K22" s="39"/>
      <c r="L22" s="39"/>
      <c r="M22" s="141"/>
      <c r="N22" s="89">
        <v>500003410</v>
      </c>
      <c r="O22" s="90" t="s">
        <v>49</v>
      </c>
      <c r="P22" s="58" t="s">
        <v>21</v>
      </c>
      <c r="Q22" s="104" t="s">
        <v>25</v>
      </c>
      <c r="R22" s="97"/>
    </row>
    <row r="23" spans="1:18" ht="12" customHeight="1">
      <c r="A23" s="37"/>
      <c r="B23" s="57" t="s">
        <v>50</v>
      </c>
      <c r="C23" s="38" t="s">
        <v>33</v>
      </c>
      <c r="D23" s="276"/>
      <c r="E23" s="39"/>
      <c r="F23" s="59"/>
      <c r="G23" s="40"/>
      <c r="H23" s="39"/>
      <c r="I23" s="39"/>
      <c r="J23" s="39"/>
      <c r="K23" s="39"/>
      <c r="L23" s="39"/>
      <c r="M23" s="141"/>
      <c r="N23" s="89">
        <v>200001630</v>
      </c>
      <c r="O23" s="90" t="s">
        <v>51</v>
      </c>
      <c r="P23" s="58" t="s">
        <v>24</v>
      </c>
      <c r="Q23" s="104" t="s">
        <v>35</v>
      </c>
      <c r="R23" s="97"/>
    </row>
    <row r="24" spans="1:18" ht="12" customHeight="1">
      <c r="A24" s="37"/>
      <c r="B24" s="57" t="s">
        <v>52</v>
      </c>
      <c r="C24" s="38" t="s">
        <v>33</v>
      </c>
      <c r="D24" s="39"/>
      <c r="E24" s="276"/>
      <c r="F24" s="59"/>
      <c r="G24" s="40"/>
      <c r="H24" s="39"/>
      <c r="I24" s="39"/>
      <c r="J24" s="39"/>
      <c r="K24" s="39"/>
      <c r="L24" s="39"/>
      <c r="M24" s="141"/>
      <c r="N24" s="89">
        <v>500002890</v>
      </c>
      <c r="O24" s="90" t="s">
        <v>53</v>
      </c>
      <c r="P24" s="58" t="s">
        <v>21</v>
      </c>
      <c r="Q24" s="104" t="s">
        <v>25</v>
      </c>
      <c r="R24" s="97"/>
    </row>
    <row r="25" spans="1:18" ht="12" customHeight="1">
      <c r="A25" s="37"/>
      <c r="B25" s="57" t="s">
        <v>54</v>
      </c>
      <c r="C25" s="38" t="s">
        <v>33</v>
      </c>
      <c r="D25" s="276"/>
      <c r="E25" s="39"/>
      <c r="F25" s="59"/>
      <c r="G25" s="59"/>
      <c r="H25" s="39">
        <f t="shared" ref="H25:I73" si="3">D25*F25</f>
        <v>0</v>
      </c>
      <c r="I25" s="39">
        <f t="shared" si="3"/>
        <v>0</v>
      </c>
      <c r="J25" s="39"/>
      <c r="K25" s="39">
        <f t="shared" ref="K25:K78" si="4">D25+E25</f>
        <v>0</v>
      </c>
      <c r="L25" s="39">
        <f t="shared" ref="L25:L78" si="5">F25+G25</f>
        <v>0</v>
      </c>
      <c r="M25" s="141"/>
      <c r="N25" s="89">
        <v>200001030</v>
      </c>
      <c r="O25" s="90" t="s">
        <v>55</v>
      </c>
      <c r="P25" s="58" t="s">
        <v>24</v>
      </c>
      <c r="Q25" s="104" t="s">
        <v>35</v>
      </c>
      <c r="R25" s="97"/>
    </row>
    <row r="26" spans="1:18" ht="12" customHeight="1">
      <c r="A26" s="37"/>
      <c r="B26" s="57" t="s">
        <v>56</v>
      </c>
      <c r="C26" s="38" t="s">
        <v>33</v>
      </c>
      <c r="D26" s="39"/>
      <c r="E26" s="276"/>
      <c r="F26" s="59"/>
      <c r="G26" s="59"/>
      <c r="H26" s="39">
        <f t="shared" si="3"/>
        <v>0</v>
      </c>
      <c r="I26" s="39">
        <f t="shared" si="3"/>
        <v>0</v>
      </c>
      <c r="J26" s="39"/>
      <c r="K26" s="39">
        <f t="shared" si="4"/>
        <v>0</v>
      </c>
      <c r="L26" s="39">
        <f t="shared" si="5"/>
        <v>0</v>
      </c>
      <c r="M26" s="141"/>
      <c r="N26" s="89">
        <v>500002088</v>
      </c>
      <c r="O26" s="90" t="s">
        <v>57</v>
      </c>
      <c r="P26" s="58" t="s">
        <v>21</v>
      </c>
      <c r="Q26" s="104" t="s">
        <v>25</v>
      </c>
      <c r="R26" s="97"/>
    </row>
    <row r="27" spans="1:18" ht="12" customHeight="1">
      <c r="A27" s="37"/>
      <c r="B27" s="57" t="s">
        <v>58</v>
      </c>
      <c r="C27" s="38" t="s">
        <v>33</v>
      </c>
      <c r="D27" s="276"/>
      <c r="E27" s="39"/>
      <c r="F27" s="59"/>
      <c r="G27" s="59"/>
      <c r="H27" s="39">
        <f t="shared" si="3"/>
        <v>0</v>
      </c>
      <c r="I27" s="39">
        <f t="shared" si="3"/>
        <v>0</v>
      </c>
      <c r="J27" s="39"/>
      <c r="K27" s="39">
        <f t="shared" si="4"/>
        <v>0</v>
      </c>
      <c r="L27" s="39">
        <f t="shared" si="5"/>
        <v>0</v>
      </c>
      <c r="M27" s="141"/>
      <c r="N27" s="89">
        <v>200001015</v>
      </c>
      <c r="O27" s="90" t="s">
        <v>59</v>
      </c>
      <c r="P27" s="58" t="s">
        <v>24</v>
      </c>
      <c r="Q27" s="104" t="s">
        <v>35</v>
      </c>
      <c r="R27" s="97"/>
    </row>
    <row r="28" spans="1:18">
      <c r="A28" s="37"/>
      <c r="B28" s="57" t="s">
        <v>60</v>
      </c>
      <c r="C28" s="38" t="s">
        <v>33</v>
      </c>
      <c r="D28" s="39"/>
      <c r="E28" s="276"/>
      <c r="F28" s="59"/>
      <c r="G28" s="59"/>
      <c r="H28" s="39">
        <f t="shared" si="3"/>
        <v>0</v>
      </c>
      <c r="I28" s="39">
        <f t="shared" si="3"/>
        <v>0</v>
      </c>
      <c r="J28" s="39"/>
      <c r="K28" s="39">
        <f t="shared" si="4"/>
        <v>0</v>
      </c>
      <c r="L28" s="39">
        <f t="shared" si="5"/>
        <v>0</v>
      </c>
      <c r="M28" s="141"/>
      <c r="N28" s="89">
        <v>500002089</v>
      </c>
      <c r="O28" s="90" t="s">
        <v>61</v>
      </c>
      <c r="P28" s="58" t="s">
        <v>21</v>
      </c>
      <c r="Q28" s="104" t="s">
        <v>25</v>
      </c>
      <c r="R28" s="97"/>
    </row>
    <row r="29" spans="1:18">
      <c r="A29" s="37"/>
      <c r="B29" s="252" t="s">
        <v>661</v>
      </c>
      <c r="C29" s="253" t="s">
        <v>65</v>
      </c>
      <c r="D29" s="39">
        <f>--(IF(T$5="TURNKEY",E30))</f>
        <v>0</v>
      </c>
      <c r="E29" s="39"/>
      <c r="F29" s="59"/>
      <c r="G29" s="59"/>
      <c r="H29" s="39"/>
      <c r="I29" s="39"/>
      <c r="J29" s="39"/>
      <c r="K29" s="39"/>
      <c r="L29" s="39"/>
      <c r="M29" s="141"/>
      <c r="N29" s="253">
        <v>200002668</v>
      </c>
      <c r="O29" s="252" t="s">
        <v>673</v>
      </c>
      <c r="P29" s="254" t="s">
        <v>24</v>
      </c>
      <c r="Q29" s="104"/>
      <c r="R29" s="97"/>
    </row>
    <row r="30" spans="1:18">
      <c r="A30" s="37"/>
      <c r="B30" s="252" t="s">
        <v>662</v>
      </c>
      <c r="C30" s="253" t="s">
        <v>65</v>
      </c>
      <c r="D30" s="39"/>
      <c r="E30" s="39">
        <f>SUM('BoM CLUSTER UG'!C17:L17)</f>
        <v>0</v>
      </c>
      <c r="F30" s="59"/>
      <c r="G30" s="59"/>
      <c r="H30" s="39"/>
      <c r="I30" s="39"/>
      <c r="J30" s="39"/>
      <c r="K30" s="39"/>
      <c r="L30" s="39"/>
      <c r="M30" s="141"/>
      <c r="N30" s="253">
        <v>500004722</v>
      </c>
      <c r="O30" s="252" t="s">
        <v>674</v>
      </c>
      <c r="P30" s="254" t="s">
        <v>21</v>
      </c>
      <c r="Q30" s="104"/>
      <c r="R30" s="97"/>
    </row>
    <row r="31" spans="1:18">
      <c r="A31" s="37"/>
      <c r="B31" s="252" t="s">
        <v>663</v>
      </c>
      <c r="C31" s="253" t="s">
        <v>65</v>
      </c>
      <c r="D31" s="39">
        <f>--(IF(T$5="TURNKEY",E32))</f>
        <v>0</v>
      </c>
      <c r="E31" s="39"/>
      <c r="F31" s="59"/>
      <c r="G31" s="59"/>
      <c r="H31" s="39"/>
      <c r="I31" s="39"/>
      <c r="J31" s="39"/>
      <c r="K31" s="39"/>
      <c r="L31" s="39"/>
      <c r="M31" s="141"/>
      <c r="N31" s="253">
        <v>200002669</v>
      </c>
      <c r="O31" s="252" t="s">
        <v>675</v>
      </c>
      <c r="P31" s="254" t="s">
        <v>24</v>
      </c>
      <c r="Q31" s="104"/>
      <c r="R31" s="97"/>
    </row>
    <row r="32" spans="1:18">
      <c r="A32" s="37"/>
      <c r="B32" s="252" t="s">
        <v>664</v>
      </c>
      <c r="C32" s="253" t="s">
        <v>65</v>
      </c>
      <c r="D32" s="39"/>
      <c r="E32" s="39">
        <f>SUM('BoM CLUSTER UG'!C18:L18)</f>
        <v>0</v>
      </c>
      <c r="F32" s="59"/>
      <c r="G32" s="59"/>
      <c r="H32" s="39"/>
      <c r="I32" s="39"/>
      <c r="J32" s="39"/>
      <c r="K32" s="39"/>
      <c r="L32" s="39"/>
      <c r="M32" s="141"/>
      <c r="N32" s="253">
        <v>500004723</v>
      </c>
      <c r="O32" s="252" t="s">
        <v>676</v>
      </c>
      <c r="P32" s="254" t="s">
        <v>21</v>
      </c>
      <c r="Q32" s="104"/>
      <c r="R32" s="97"/>
    </row>
    <row r="33" spans="1:18">
      <c r="A33" s="37"/>
      <c r="B33" s="252" t="s">
        <v>665</v>
      </c>
      <c r="C33" s="253" t="s">
        <v>65</v>
      </c>
      <c r="D33" s="39">
        <f>--(IF(T$5="TURNKEY",E34))</f>
        <v>0</v>
      </c>
      <c r="E33" s="39"/>
      <c r="F33" s="59"/>
      <c r="G33" s="59"/>
      <c r="H33" s="39"/>
      <c r="I33" s="39"/>
      <c r="J33" s="39"/>
      <c r="K33" s="39"/>
      <c r="L33" s="39"/>
      <c r="M33" s="141"/>
      <c r="N33" s="253">
        <v>200002670</v>
      </c>
      <c r="O33" s="252" t="s">
        <v>677</v>
      </c>
      <c r="P33" s="254" t="s">
        <v>24</v>
      </c>
      <c r="Q33" s="104"/>
      <c r="R33" s="97"/>
    </row>
    <row r="34" spans="1:18">
      <c r="A34" s="37"/>
      <c r="B34" s="252" t="s">
        <v>666</v>
      </c>
      <c r="C34" s="253" t="s">
        <v>65</v>
      </c>
      <c r="D34" s="39"/>
      <c r="E34" s="39">
        <f>SUM('BoM CLUSTER UG'!C19:L19)</f>
        <v>0</v>
      </c>
      <c r="F34" s="59"/>
      <c r="G34" s="59"/>
      <c r="H34" s="39"/>
      <c r="I34" s="39"/>
      <c r="J34" s="39"/>
      <c r="K34" s="39"/>
      <c r="L34" s="39"/>
      <c r="M34" s="141"/>
      <c r="N34" s="253">
        <v>500004724</v>
      </c>
      <c r="O34" s="252" t="s">
        <v>678</v>
      </c>
      <c r="P34" s="254" t="s">
        <v>21</v>
      </c>
      <c r="Q34" s="104"/>
      <c r="R34" s="97"/>
    </row>
    <row r="35" spans="1:18">
      <c r="A35" s="37"/>
      <c r="B35" s="252" t="s">
        <v>667</v>
      </c>
      <c r="C35" s="253" t="s">
        <v>65</v>
      </c>
      <c r="D35" s="39">
        <f>--(IF(T$5="TURNKEY",E36))</f>
        <v>0</v>
      </c>
      <c r="E35" s="39"/>
      <c r="F35" s="59"/>
      <c r="G35" s="59"/>
      <c r="H35" s="39"/>
      <c r="I35" s="39"/>
      <c r="J35" s="39"/>
      <c r="K35" s="39"/>
      <c r="L35" s="39"/>
      <c r="M35" s="141"/>
      <c r="N35" s="253">
        <v>200002671</v>
      </c>
      <c r="O35" s="252" t="s">
        <v>679</v>
      </c>
      <c r="P35" s="254" t="s">
        <v>24</v>
      </c>
      <c r="Q35" s="104"/>
      <c r="R35" s="97"/>
    </row>
    <row r="36" spans="1:18">
      <c r="A36" s="37"/>
      <c r="B36" s="252" t="s">
        <v>668</v>
      </c>
      <c r="C36" s="253" t="s">
        <v>65</v>
      </c>
      <c r="D36" s="39"/>
      <c r="E36" s="39">
        <f>SUM('BoM CLUSTER UG'!C20:L20)</f>
        <v>0</v>
      </c>
      <c r="F36" s="59"/>
      <c r="G36" s="59"/>
      <c r="H36" s="39"/>
      <c r="I36" s="39"/>
      <c r="J36" s="39"/>
      <c r="K36" s="39"/>
      <c r="L36" s="39"/>
      <c r="M36" s="141"/>
      <c r="N36" s="253">
        <v>500004725</v>
      </c>
      <c r="O36" s="252" t="s">
        <v>680</v>
      </c>
      <c r="P36" s="254" t="s">
        <v>21</v>
      </c>
      <c r="Q36" s="104"/>
      <c r="R36" s="97"/>
    </row>
    <row r="37" spans="1:18">
      <c r="A37" s="37"/>
      <c r="B37" s="255" t="s">
        <v>669</v>
      </c>
      <c r="C37" s="253" t="s">
        <v>65</v>
      </c>
      <c r="D37" s="39">
        <f>--(IF(T$5="TURNKEY",E38))</f>
        <v>0</v>
      </c>
      <c r="E37" s="39"/>
      <c r="F37" s="59"/>
      <c r="G37" s="59"/>
      <c r="H37" s="39"/>
      <c r="I37" s="39"/>
      <c r="J37" s="39"/>
      <c r="K37" s="39"/>
      <c r="L37" s="39"/>
      <c r="M37" s="141"/>
      <c r="N37" s="293">
        <v>200002713</v>
      </c>
      <c r="O37" s="255" t="s">
        <v>681</v>
      </c>
      <c r="P37" s="254" t="s">
        <v>24</v>
      </c>
      <c r="Q37" s="104"/>
      <c r="R37" s="97"/>
    </row>
    <row r="38" spans="1:18">
      <c r="A38" s="37"/>
      <c r="B38" s="255" t="s">
        <v>670</v>
      </c>
      <c r="C38" s="253" t="s">
        <v>65</v>
      </c>
      <c r="D38" s="39"/>
      <c r="E38" s="39">
        <f>SUM('BoM CLUSTER UG'!C21:L21)</f>
        <v>0</v>
      </c>
      <c r="F38" s="59"/>
      <c r="G38" s="59"/>
      <c r="H38" s="39"/>
      <c r="I38" s="39"/>
      <c r="J38" s="39"/>
      <c r="K38" s="39"/>
      <c r="L38" s="39"/>
      <c r="M38" s="141"/>
      <c r="N38" s="293">
        <v>500004777</v>
      </c>
      <c r="O38" s="255" t="s">
        <v>682</v>
      </c>
      <c r="P38" s="254" t="s">
        <v>21</v>
      </c>
      <c r="Q38" s="104"/>
      <c r="R38" s="97"/>
    </row>
    <row r="39" spans="1:18">
      <c r="A39" s="37"/>
      <c r="B39" s="255" t="s">
        <v>671</v>
      </c>
      <c r="C39" s="253" t="s">
        <v>65</v>
      </c>
      <c r="D39" s="39">
        <f>--(IF(T$5="TURNKEY",E40))</f>
        <v>0</v>
      </c>
      <c r="E39" s="39"/>
      <c r="F39" s="59"/>
      <c r="G39" s="59"/>
      <c r="H39" s="39"/>
      <c r="I39" s="39"/>
      <c r="J39" s="39"/>
      <c r="K39" s="39"/>
      <c r="L39" s="39"/>
      <c r="M39" s="141"/>
      <c r="N39" s="293">
        <v>200002714</v>
      </c>
      <c r="O39" s="255" t="s">
        <v>683</v>
      </c>
      <c r="P39" s="254" t="s">
        <v>24</v>
      </c>
      <c r="Q39" s="104"/>
      <c r="R39" s="97"/>
    </row>
    <row r="40" spans="1:18">
      <c r="A40" s="37"/>
      <c r="B40" s="255" t="s">
        <v>672</v>
      </c>
      <c r="C40" s="253" t="s">
        <v>65</v>
      </c>
      <c r="D40" s="39"/>
      <c r="E40" s="39">
        <f>SUM('BoM CLUSTER UG'!C22:L22)</f>
        <v>0</v>
      </c>
      <c r="F40" s="59"/>
      <c r="G40" s="59"/>
      <c r="H40" s="39"/>
      <c r="I40" s="39"/>
      <c r="J40" s="39"/>
      <c r="K40" s="39"/>
      <c r="L40" s="39"/>
      <c r="M40" s="141"/>
      <c r="N40" s="293">
        <v>500004778</v>
      </c>
      <c r="O40" s="255" t="s">
        <v>684</v>
      </c>
      <c r="P40" s="254" t="s">
        <v>21</v>
      </c>
      <c r="Q40" s="104"/>
      <c r="R40" s="97"/>
    </row>
    <row r="41" spans="1:18" ht="12" customHeight="1">
      <c r="A41" s="37" t="s">
        <v>62</v>
      </c>
      <c r="B41" s="57" t="s">
        <v>63</v>
      </c>
      <c r="C41" s="38"/>
      <c r="D41" s="39"/>
      <c r="E41" s="39"/>
      <c r="F41" s="59"/>
      <c r="G41" s="59"/>
      <c r="H41" s="39">
        <f t="shared" si="3"/>
        <v>0</v>
      </c>
      <c r="I41" s="39">
        <f t="shared" si="3"/>
        <v>0</v>
      </c>
      <c r="J41" s="39"/>
      <c r="K41" s="39">
        <f t="shared" si="4"/>
        <v>0</v>
      </c>
      <c r="L41" s="39">
        <f t="shared" si="5"/>
        <v>0</v>
      </c>
      <c r="M41" s="141"/>
      <c r="N41" s="89"/>
      <c r="O41" s="37"/>
      <c r="P41" s="58"/>
      <c r="Q41" s="104"/>
      <c r="R41" s="97"/>
    </row>
    <row r="42" spans="1:18" ht="12" customHeight="1">
      <c r="A42" s="37"/>
      <c r="B42" s="57" t="s">
        <v>64</v>
      </c>
      <c r="C42" s="37" t="s">
        <v>65</v>
      </c>
      <c r="D42" s="241">
        <f>--(IF(T$5="TURNKEY",E43))</f>
        <v>0</v>
      </c>
      <c r="E42" s="39"/>
      <c r="F42" s="302"/>
      <c r="G42" s="59"/>
      <c r="H42" s="39">
        <f t="shared" si="3"/>
        <v>0</v>
      </c>
      <c r="I42" s="39">
        <f t="shared" si="3"/>
        <v>0</v>
      </c>
      <c r="J42" s="39"/>
      <c r="K42" s="39">
        <f t="shared" si="4"/>
        <v>0</v>
      </c>
      <c r="L42" s="39">
        <f t="shared" si="5"/>
        <v>0</v>
      </c>
      <c r="M42" s="141"/>
      <c r="N42" s="89">
        <v>200001039</v>
      </c>
      <c r="O42" s="90" t="s">
        <v>66</v>
      </c>
      <c r="P42" s="58" t="s">
        <v>24</v>
      </c>
      <c r="Q42" s="104"/>
      <c r="R42" s="97"/>
    </row>
    <row r="43" spans="1:18" ht="12" customHeight="1">
      <c r="A43" s="37"/>
      <c r="B43" s="57" t="s">
        <v>67</v>
      </c>
      <c r="C43" s="37" t="s">
        <v>65</v>
      </c>
      <c r="D43" s="39"/>
      <c r="E43" s="241">
        <f>SUM('BoM CLUSTER UG'!C38:L38)</f>
        <v>0</v>
      </c>
      <c r="F43" s="59"/>
      <c r="G43" s="302"/>
      <c r="H43" s="39"/>
      <c r="I43" s="39">
        <f t="shared" si="3"/>
        <v>0</v>
      </c>
      <c r="J43" s="39"/>
      <c r="K43" s="39">
        <f t="shared" si="4"/>
        <v>0</v>
      </c>
      <c r="L43" s="39">
        <f t="shared" si="5"/>
        <v>0</v>
      </c>
      <c r="M43" s="141"/>
      <c r="N43" s="89">
        <v>500002053</v>
      </c>
      <c r="O43" s="90" t="s">
        <v>68</v>
      </c>
      <c r="P43" s="58" t="s">
        <v>21</v>
      </c>
      <c r="Q43" s="104"/>
      <c r="R43" s="97"/>
    </row>
    <row r="44" spans="1:18" ht="12" customHeight="1">
      <c r="A44" s="60"/>
      <c r="B44" s="57" t="s">
        <v>69</v>
      </c>
      <c r="C44" s="60" t="s">
        <v>65</v>
      </c>
      <c r="D44" s="241">
        <f>--(IF(T$5="TURNKEY",E45))</f>
        <v>0</v>
      </c>
      <c r="E44" s="39"/>
      <c r="F44" s="302"/>
      <c r="G44" s="59"/>
      <c r="H44" s="39">
        <f t="shared" si="3"/>
        <v>0</v>
      </c>
      <c r="I44" s="39">
        <f t="shared" si="3"/>
        <v>0</v>
      </c>
      <c r="J44" s="39"/>
      <c r="K44" s="39">
        <f t="shared" si="4"/>
        <v>0</v>
      </c>
      <c r="L44" s="39">
        <f t="shared" si="5"/>
        <v>0</v>
      </c>
      <c r="M44" s="91"/>
      <c r="N44" s="89">
        <v>200001040</v>
      </c>
      <c r="O44" s="90" t="s">
        <v>70</v>
      </c>
      <c r="P44" s="58" t="s">
        <v>24</v>
      </c>
      <c r="Q44" s="104"/>
      <c r="R44" s="108"/>
    </row>
    <row r="45" spans="1:18" ht="12" customHeight="1">
      <c r="A45" s="60"/>
      <c r="B45" s="57" t="s">
        <v>71</v>
      </c>
      <c r="C45" s="37" t="s">
        <v>65</v>
      </c>
      <c r="D45" s="39"/>
      <c r="E45" s="241">
        <f>SUM('BoM CLUSTER UG'!C39:L39)</f>
        <v>0</v>
      </c>
      <c r="F45" s="59"/>
      <c r="G45" s="302"/>
      <c r="H45" s="39">
        <f t="shared" si="3"/>
        <v>0</v>
      </c>
      <c r="I45" s="39">
        <f t="shared" si="3"/>
        <v>0</v>
      </c>
      <c r="J45" s="39"/>
      <c r="K45" s="39">
        <f t="shared" si="4"/>
        <v>0</v>
      </c>
      <c r="L45" s="39">
        <f t="shared" si="5"/>
        <v>0</v>
      </c>
      <c r="M45" s="91"/>
      <c r="N45" s="89">
        <v>500002054</v>
      </c>
      <c r="O45" s="90" t="s">
        <v>72</v>
      </c>
      <c r="P45" s="58" t="s">
        <v>21</v>
      </c>
      <c r="Q45" s="104"/>
      <c r="R45" s="108"/>
    </row>
    <row r="46" spans="1:18" ht="12" customHeight="1">
      <c r="A46" s="60"/>
      <c r="B46" s="57" t="s">
        <v>73</v>
      </c>
      <c r="C46" s="60" t="s">
        <v>65</v>
      </c>
      <c r="D46" s="241">
        <f>--(IF(T$5="TURNKEY",E47))</f>
        <v>0</v>
      </c>
      <c r="E46" s="39"/>
      <c r="F46" s="59"/>
      <c r="G46" s="59"/>
      <c r="H46" s="39">
        <f t="shared" si="3"/>
        <v>0</v>
      </c>
      <c r="I46" s="39">
        <f t="shared" si="3"/>
        <v>0</v>
      </c>
      <c r="J46" s="39"/>
      <c r="K46" s="39">
        <f t="shared" si="4"/>
        <v>0</v>
      </c>
      <c r="L46" s="39">
        <f t="shared" si="5"/>
        <v>0</v>
      </c>
      <c r="M46" s="91"/>
      <c r="N46" s="89">
        <v>200001041</v>
      </c>
      <c r="O46" s="90" t="s">
        <v>74</v>
      </c>
      <c r="P46" s="58" t="s">
        <v>24</v>
      </c>
      <c r="Q46" s="104"/>
      <c r="R46" s="108"/>
    </row>
    <row r="47" spans="1:18" ht="12" customHeight="1">
      <c r="A47" s="60"/>
      <c r="B47" s="57" t="s">
        <v>75</v>
      </c>
      <c r="C47" s="37" t="s">
        <v>65</v>
      </c>
      <c r="D47" s="39"/>
      <c r="E47" s="241">
        <f>SUM('BoM CLUSTER UG'!C40:L40)</f>
        <v>0</v>
      </c>
      <c r="F47" s="59"/>
      <c r="G47" s="59"/>
      <c r="H47" s="39">
        <f t="shared" si="3"/>
        <v>0</v>
      </c>
      <c r="I47" s="39">
        <f t="shared" si="3"/>
        <v>0</v>
      </c>
      <c r="J47" s="39"/>
      <c r="K47" s="39">
        <f t="shared" si="4"/>
        <v>0</v>
      </c>
      <c r="L47" s="39">
        <f t="shared" si="5"/>
        <v>0</v>
      </c>
      <c r="M47" s="91"/>
      <c r="N47" s="89">
        <v>500002055</v>
      </c>
      <c r="O47" s="90" t="s">
        <v>76</v>
      </c>
      <c r="P47" s="58" t="s">
        <v>21</v>
      </c>
      <c r="Q47" s="104"/>
      <c r="R47" s="108"/>
    </row>
    <row r="48" spans="1:18" ht="12" customHeight="1">
      <c r="A48" s="60"/>
      <c r="B48" s="57" t="s">
        <v>77</v>
      </c>
      <c r="C48" s="60" t="s">
        <v>65</v>
      </c>
      <c r="D48" s="241">
        <f>--(IF(T$5="TURNKEY",E49))</f>
        <v>0</v>
      </c>
      <c r="E48" s="39"/>
      <c r="F48" s="59"/>
      <c r="G48" s="59"/>
      <c r="H48" s="39">
        <f t="shared" si="3"/>
        <v>0</v>
      </c>
      <c r="I48" s="39">
        <f t="shared" si="3"/>
        <v>0</v>
      </c>
      <c r="J48" s="39"/>
      <c r="K48" s="39">
        <f t="shared" si="4"/>
        <v>0</v>
      </c>
      <c r="L48" s="39">
        <f t="shared" si="5"/>
        <v>0</v>
      </c>
      <c r="M48" s="91"/>
      <c r="N48" s="89">
        <v>200001042</v>
      </c>
      <c r="O48" s="90" t="s">
        <v>78</v>
      </c>
      <c r="P48" s="58" t="s">
        <v>24</v>
      </c>
      <c r="Q48" s="104"/>
      <c r="R48" s="108"/>
    </row>
    <row r="49" spans="1:18" ht="12" customHeight="1">
      <c r="A49" s="60"/>
      <c r="B49" s="57" t="s">
        <v>79</v>
      </c>
      <c r="C49" s="37" t="s">
        <v>65</v>
      </c>
      <c r="D49" s="39"/>
      <c r="E49" s="241">
        <f>SUM('BoM CLUSTER UG'!C41:L41)</f>
        <v>0</v>
      </c>
      <c r="F49" s="59"/>
      <c r="G49" s="59"/>
      <c r="H49" s="39">
        <f t="shared" si="3"/>
        <v>0</v>
      </c>
      <c r="I49" s="39">
        <f t="shared" si="3"/>
        <v>0</v>
      </c>
      <c r="J49" s="39"/>
      <c r="K49" s="39">
        <f t="shared" si="4"/>
        <v>0</v>
      </c>
      <c r="L49" s="39">
        <f t="shared" si="5"/>
        <v>0</v>
      </c>
      <c r="M49" s="91"/>
      <c r="N49" s="89">
        <v>500002062</v>
      </c>
      <c r="O49" s="90" t="s">
        <v>80</v>
      </c>
      <c r="P49" s="58" t="s">
        <v>21</v>
      </c>
      <c r="Q49" s="104"/>
      <c r="R49" s="108"/>
    </row>
    <row r="50" spans="1:18" ht="12" customHeight="1">
      <c r="A50" s="60"/>
      <c r="B50" s="57" t="s">
        <v>81</v>
      </c>
      <c r="C50" s="60" t="s">
        <v>65</v>
      </c>
      <c r="D50" s="276"/>
      <c r="E50" s="39"/>
      <c r="F50" s="59"/>
      <c r="G50" s="59"/>
      <c r="H50" s="39">
        <f t="shared" si="3"/>
        <v>0</v>
      </c>
      <c r="I50" s="39">
        <f t="shared" si="3"/>
        <v>0</v>
      </c>
      <c r="J50" s="39"/>
      <c r="K50" s="39">
        <f t="shared" si="4"/>
        <v>0</v>
      </c>
      <c r="L50" s="39">
        <f t="shared" si="5"/>
        <v>0</v>
      </c>
      <c r="M50" s="91"/>
      <c r="N50" s="89">
        <v>200001043</v>
      </c>
      <c r="O50" s="90" t="s">
        <v>82</v>
      </c>
      <c r="P50" s="58" t="s">
        <v>24</v>
      </c>
      <c r="Q50" s="104"/>
      <c r="R50" s="108"/>
    </row>
    <row r="51" spans="1:18" ht="12" customHeight="1">
      <c r="A51" s="60"/>
      <c r="B51" s="57" t="s">
        <v>83</v>
      </c>
      <c r="C51" s="37" t="s">
        <v>65</v>
      </c>
      <c r="D51" s="39"/>
      <c r="E51" s="276"/>
      <c r="F51" s="59"/>
      <c r="G51" s="59"/>
      <c r="H51" s="39">
        <f t="shared" si="3"/>
        <v>0</v>
      </c>
      <c r="I51" s="39">
        <f t="shared" si="3"/>
        <v>0</v>
      </c>
      <c r="J51" s="39"/>
      <c r="K51" s="39">
        <f t="shared" si="4"/>
        <v>0</v>
      </c>
      <c r="L51" s="39">
        <f t="shared" si="5"/>
        <v>0</v>
      </c>
      <c r="M51" s="91"/>
      <c r="N51" s="89">
        <v>500002073</v>
      </c>
      <c r="O51" s="90" t="s">
        <v>84</v>
      </c>
      <c r="P51" s="58" t="s">
        <v>21</v>
      </c>
      <c r="Q51" s="104"/>
      <c r="R51" s="108"/>
    </row>
    <row r="52" spans="1:18" ht="12" customHeight="1">
      <c r="A52" s="60"/>
      <c r="B52" s="57" t="s">
        <v>85</v>
      </c>
      <c r="C52" s="60" t="s">
        <v>65</v>
      </c>
      <c r="D52" s="276"/>
      <c r="E52" s="39"/>
      <c r="F52" s="59"/>
      <c r="G52" s="59"/>
      <c r="H52" s="39">
        <f t="shared" si="3"/>
        <v>0</v>
      </c>
      <c r="I52" s="39">
        <f t="shared" si="3"/>
        <v>0</v>
      </c>
      <c r="J52" s="39"/>
      <c r="K52" s="39">
        <f t="shared" si="4"/>
        <v>0</v>
      </c>
      <c r="L52" s="39">
        <f t="shared" si="5"/>
        <v>0</v>
      </c>
      <c r="M52" s="91"/>
      <c r="N52" s="89">
        <v>200001044</v>
      </c>
      <c r="O52" s="90" t="s">
        <v>86</v>
      </c>
      <c r="P52" s="58" t="s">
        <v>24</v>
      </c>
      <c r="Q52" s="104"/>
      <c r="R52" s="108"/>
    </row>
    <row r="53" spans="1:18" ht="12" customHeight="1">
      <c r="A53" s="60"/>
      <c r="B53" s="61" t="s">
        <v>87</v>
      </c>
      <c r="C53" s="37" t="s">
        <v>65</v>
      </c>
      <c r="D53" s="39"/>
      <c r="E53" s="276"/>
      <c r="F53" s="59"/>
      <c r="G53" s="59"/>
      <c r="H53" s="39">
        <f t="shared" si="3"/>
        <v>0</v>
      </c>
      <c r="I53" s="39">
        <f t="shared" si="3"/>
        <v>0</v>
      </c>
      <c r="J53" s="39"/>
      <c r="K53" s="39">
        <f t="shared" si="4"/>
        <v>0</v>
      </c>
      <c r="L53" s="39">
        <f t="shared" si="5"/>
        <v>0</v>
      </c>
      <c r="M53" s="91"/>
      <c r="N53" s="89">
        <v>500002084</v>
      </c>
      <c r="O53" s="90" t="s">
        <v>88</v>
      </c>
      <c r="P53" s="58" t="s">
        <v>21</v>
      </c>
      <c r="Q53" s="104"/>
      <c r="R53" s="108"/>
    </row>
    <row r="54" spans="1:18" ht="12" customHeight="1">
      <c r="A54" s="60"/>
      <c r="B54" s="252" t="s">
        <v>685</v>
      </c>
      <c r="C54" s="256" t="s">
        <v>92</v>
      </c>
      <c r="D54" s="241">
        <f>--(IF(T$5="TURNKEY",E55))</f>
        <v>0</v>
      </c>
      <c r="E54" s="39"/>
      <c r="F54" s="59"/>
      <c r="G54" s="59"/>
      <c r="H54" s="39"/>
      <c r="I54" s="39"/>
      <c r="J54" s="39"/>
      <c r="K54" s="39"/>
      <c r="L54" s="39"/>
      <c r="M54" s="91"/>
      <c r="N54" s="253">
        <v>200002672</v>
      </c>
      <c r="O54" s="252" t="s">
        <v>687</v>
      </c>
      <c r="P54" s="254" t="s">
        <v>24</v>
      </c>
      <c r="Q54" s="104"/>
      <c r="R54" s="108"/>
    </row>
    <row r="55" spans="1:18" ht="12" customHeight="1">
      <c r="A55" s="60"/>
      <c r="B55" s="252" t="s">
        <v>686</v>
      </c>
      <c r="C55" s="256" t="s">
        <v>92</v>
      </c>
      <c r="D55" s="39"/>
      <c r="E55" s="241">
        <f>SUM('BoM CLUSTER UG'!C42:L42)</f>
        <v>0</v>
      </c>
      <c r="F55" s="59"/>
      <c r="G55" s="59"/>
      <c r="H55" s="39"/>
      <c r="I55" s="39"/>
      <c r="J55" s="39"/>
      <c r="K55" s="39"/>
      <c r="L55" s="39"/>
      <c r="M55" s="91"/>
      <c r="N55" s="253">
        <v>500004726</v>
      </c>
      <c r="O55" s="252" t="s">
        <v>688</v>
      </c>
      <c r="P55" s="254" t="s">
        <v>21</v>
      </c>
      <c r="Q55" s="104"/>
      <c r="R55" s="108"/>
    </row>
    <row r="56" spans="1:18" ht="12" customHeight="1">
      <c r="A56" s="37" t="s">
        <v>89</v>
      </c>
      <c r="B56" s="62" t="s">
        <v>90</v>
      </c>
      <c r="C56" s="38"/>
      <c r="D56" s="39"/>
      <c r="E56" s="39"/>
      <c r="F56" s="59"/>
      <c r="G56" s="59"/>
      <c r="H56" s="39">
        <f t="shared" si="3"/>
        <v>0</v>
      </c>
      <c r="I56" s="39">
        <f t="shared" si="3"/>
        <v>0</v>
      </c>
      <c r="J56" s="39"/>
      <c r="K56" s="39">
        <f t="shared" si="4"/>
        <v>0</v>
      </c>
      <c r="L56" s="39">
        <f t="shared" si="5"/>
        <v>0</v>
      </c>
      <c r="M56" s="141"/>
      <c r="N56" s="37"/>
      <c r="O56" s="37"/>
      <c r="P56" s="58"/>
      <c r="Q56" s="104"/>
      <c r="R56" s="97"/>
    </row>
    <row r="57" spans="1:18" ht="12" customHeight="1">
      <c r="A57" s="37"/>
      <c r="B57" s="63" t="s">
        <v>91</v>
      </c>
      <c r="C57" s="38" t="s">
        <v>92</v>
      </c>
      <c r="D57" s="39"/>
      <c r="E57" s="39"/>
      <c r="F57" s="59"/>
      <c r="G57" s="59"/>
      <c r="H57" s="39">
        <f t="shared" si="3"/>
        <v>0</v>
      </c>
      <c r="I57" s="39">
        <f t="shared" si="3"/>
        <v>0</v>
      </c>
      <c r="J57" s="39"/>
      <c r="K57" s="39">
        <f t="shared" si="4"/>
        <v>0</v>
      </c>
      <c r="L57" s="39">
        <f t="shared" si="5"/>
        <v>0</v>
      </c>
      <c r="M57" s="141"/>
      <c r="N57" s="92">
        <v>100000191</v>
      </c>
      <c r="O57" s="63" t="s">
        <v>93</v>
      </c>
      <c r="P57" s="58" t="s">
        <v>24</v>
      </c>
      <c r="Q57" s="104"/>
      <c r="R57" s="97"/>
    </row>
    <row r="58" spans="1:18" ht="12" customHeight="1">
      <c r="A58" s="37"/>
      <c r="B58" s="63" t="s">
        <v>94</v>
      </c>
      <c r="C58" s="38" t="s">
        <v>92</v>
      </c>
      <c r="D58" s="241">
        <f>SUM('BoM CLUSTER UG'!C43:L43)</f>
        <v>0</v>
      </c>
      <c r="E58" s="39"/>
      <c r="F58" s="40"/>
      <c r="G58" s="294"/>
      <c r="H58" s="39">
        <f t="shared" si="3"/>
        <v>0</v>
      </c>
      <c r="I58" s="39">
        <f t="shared" si="3"/>
        <v>0</v>
      </c>
      <c r="J58" s="39"/>
      <c r="K58" s="39">
        <f t="shared" si="4"/>
        <v>0</v>
      </c>
      <c r="L58" s="39">
        <f t="shared" si="5"/>
        <v>0</v>
      </c>
      <c r="M58" s="141"/>
      <c r="N58" s="92">
        <v>100000826</v>
      </c>
      <c r="O58" s="63" t="s">
        <v>95</v>
      </c>
      <c r="P58" s="58" t="s">
        <v>24</v>
      </c>
      <c r="Q58" s="104"/>
      <c r="R58" s="97"/>
    </row>
    <row r="59" spans="1:18" ht="12" customHeight="1">
      <c r="A59" s="37" t="s">
        <v>96</v>
      </c>
      <c r="B59" s="62" t="s">
        <v>97</v>
      </c>
      <c r="C59" s="38"/>
      <c r="D59" s="39"/>
      <c r="E59" s="39"/>
      <c r="F59" s="59"/>
      <c r="G59" s="59"/>
      <c r="H59" s="39">
        <f t="shared" si="3"/>
        <v>0</v>
      </c>
      <c r="I59" s="39">
        <f t="shared" si="3"/>
        <v>0</v>
      </c>
      <c r="J59" s="39"/>
      <c r="K59" s="39">
        <f t="shared" si="4"/>
        <v>0</v>
      </c>
      <c r="L59" s="39">
        <f t="shared" si="5"/>
        <v>0</v>
      </c>
      <c r="M59" s="141"/>
      <c r="N59" s="37"/>
      <c r="O59" s="37"/>
      <c r="P59" s="58"/>
      <c r="Q59" s="104"/>
      <c r="R59" s="97"/>
    </row>
    <row r="60" spans="1:18" ht="12" customHeight="1">
      <c r="A60" s="37"/>
      <c r="B60" s="63" t="s">
        <v>98</v>
      </c>
      <c r="C60" s="38" t="s">
        <v>92</v>
      </c>
      <c r="D60" s="39"/>
      <c r="E60" s="39"/>
      <c r="F60" s="59"/>
      <c r="G60" s="59"/>
      <c r="H60" s="39">
        <f t="shared" si="3"/>
        <v>0</v>
      </c>
      <c r="I60" s="39">
        <f t="shared" si="3"/>
        <v>0</v>
      </c>
      <c r="J60" s="39"/>
      <c r="K60" s="39">
        <f t="shared" si="4"/>
        <v>0</v>
      </c>
      <c r="L60" s="39">
        <f t="shared" si="5"/>
        <v>0</v>
      </c>
      <c r="M60" s="141"/>
      <c r="N60" s="89">
        <v>200001045</v>
      </c>
      <c r="O60" s="90" t="s">
        <v>99</v>
      </c>
      <c r="P60" s="58" t="s">
        <v>24</v>
      </c>
      <c r="Q60" s="104"/>
      <c r="R60" s="97"/>
    </row>
    <row r="61" spans="1:18" ht="12" customHeight="1">
      <c r="A61" s="37"/>
      <c r="B61" s="63" t="s">
        <v>100</v>
      </c>
      <c r="C61" s="38" t="s">
        <v>92</v>
      </c>
      <c r="D61" s="241">
        <f>SUM('BoM CLUSTER UG'!C44:L44)</f>
        <v>0</v>
      </c>
      <c r="E61" s="39"/>
      <c r="F61" s="40"/>
      <c r="G61" s="294"/>
      <c r="H61" s="39">
        <f t="shared" si="3"/>
        <v>0</v>
      </c>
      <c r="I61" s="39">
        <f t="shared" si="3"/>
        <v>0</v>
      </c>
      <c r="J61" s="39"/>
      <c r="K61" s="39">
        <f t="shared" si="4"/>
        <v>0</v>
      </c>
      <c r="L61" s="39">
        <f t="shared" si="5"/>
        <v>0</v>
      </c>
      <c r="M61" s="141"/>
      <c r="N61" s="89">
        <v>200001046</v>
      </c>
      <c r="O61" s="90" t="s">
        <v>101</v>
      </c>
      <c r="P61" s="58" t="s">
        <v>24</v>
      </c>
      <c r="Q61" s="104"/>
      <c r="R61" s="97"/>
    </row>
    <row r="62" spans="1:18" ht="12" customHeight="1">
      <c r="A62" s="37" t="s">
        <v>102</v>
      </c>
      <c r="B62" s="62" t="s">
        <v>103</v>
      </c>
      <c r="C62" s="38"/>
      <c r="D62" s="39"/>
      <c r="E62" s="39"/>
      <c r="F62" s="59"/>
      <c r="G62" s="59"/>
      <c r="H62" s="39">
        <f t="shared" si="3"/>
        <v>0</v>
      </c>
      <c r="I62" s="39">
        <f t="shared" si="3"/>
        <v>0</v>
      </c>
      <c r="J62" s="39"/>
      <c r="K62" s="39">
        <f t="shared" si="4"/>
        <v>0</v>
      </c>
      <c r="L62" s="39">
        <f t="shared" si="5"/>
        <v>0</v>
      </c>
      <c r="M62" s="141"/>
      <c r="N62" s="64"/>
      <c r="O62" s="37"/>
      <c r="P62" s="58"/>
      <c r="Q62" s="104"/>
      <c r="R62" s="97"/>
    </row>
    <row r="63" spans="1:18" ht="12" customHeight="1">
      <c r="A63" s="37"/>
      <c r="B63" s="57" t="s">
        <v>104</v>
      </c>
      <c r="C63" s="38" t="s">
        <v>92</v>
      </c>
      <c r="D63" s="241">
        <f>--(IF(T$5="TURNKEY",E64))</f>
        <v>0</v>
      </c>
      <c r="E63" s="39"/>
      <c r="F63" s="40"/>
      <c r="G63" s="59"/>
      <c r="H63" s="39">
        <f t="shared" si="3"/>
        <v>0</v>
      </c>
      <c r="I63" s="39">
        <f t="shared" si="3"/>
        <v>0</v>
      </c>
      <c r="J63" s="39"/>
      <c r="K63" s="39">
        <f t="shared" si="4"/>
        <v>0</v>
      </c>
      <c r="L63" s="39">
        <f t="shared" si="5"/>
        <v>0</v>
      </c>
      <c r="M63" s="141"/>
      <c r="N63" s="89">
        <v>200001047</v>
      </c>
      <c r="O63" s="90" t="s">
        <v>105</v>
      </c>
      <c r="P63" s="58" t="s">
        <v>24</v>
      </c>
      <c r="Q63" s="104"/>
      <c r="R63" s="97"/>
    </row>
    <row r="64" spans="1:18" ht="12" customHeight="1">
      <c r="A64" s="37"/>
      <c r="B64" s="57" t="s">
        <v>740</v>
      </c>
      <c r="C64" s="38" t="s">
        <v>92</v>
      </c>
      <c r="D64" s="39"/>
      <c r="E64" s="241">
        <f>SUM('BoM CLUSTER UG'!C45:L48)</f>
        <v>0</v>
      </c>
      <c r="F64" s="59"/>
      <c r="G64" s="40"/>
      <c r="H64" s="39">
        <f t="shared" si="3"/>
        <v>0</v>
      </c>
      <c r="I64" s="39">
        <f t="shared" si="3"/>
        <v>0</v>
      </c>
      <c r="J64" s="39"/>
      <c r="K64" s="39">
        <f t="shared" si="4"/>
        <v>0</v>
      </c>
      <c r="L64" s="39">
        <f t="shared" si="5"/>
        <v>0</v>
      </c>
      <c r="M64" s="93">
        <v>500002142</v>
      </c>
      <c r="N64" s="93">
        <v>500002142</v>
      </c>
      <c r="O64" s="90" t="s">
        <v>106</v>
      </c>
      <c r="P64" s="58" t="s">
        <v>21</v>
      </c>
      <c r="Q64" s="104"/>
      <c r="R64" s="97"/>
    </row>
    <row r="65" spans="1:18" ht="12" customHeight="1">
      <c r="A65" s="37"/>
      <c r="B65" s="57" t="s">
        <v>107</v>
      </c>
      <c r="C65" s="38" t="s">
        <v>92</v>
      </c>
      <c r="D65" s="277">
        <f>--(IF(T$5="TURNKEY",E66))</f>
        <v>0</v>
      </c>
      <c r="E65" s="39"/>
      <c r="F65" s="59"/>
      <c r="G65" s="59"/>
      <c r="H65" s="39">
        <f t="shared" si="3"/>
        <v>0</v>
      </c>
      <c r="I65" s="39">
        <f t="shared" si="3"/>
        <v>0</v>
      </c>
      <c r="J65" s="39"/>
      <c r="K65" s="39">
        <f t="shared" si="4"/>
        <v>0</v>
      </c>
      <c r="L65" s="39">
        <f t="shared" si="5"/>
        <v>0</v>
      </c>
      <c r="M65" s="128"/>
      <c r="N65" s="89">
        <v>100000824</v>
      </c>
      <c r="O65" s="90" t="s">
        <v>108</v>
      </c>
      <c r="P65" s="58" t="s">
        <v>24</v>
      </c>
      <c r="Q65" s="104"/>
      <c r="R65" s="97"/>
    </row>
    <row r="66" spans="1:18" ht="12" customHeight="1">
      <c r="A66" s="37"/>
      <c r="B66" s="57" t="s">
        <v>109</v>
      </c>
      <c r="C66" s="38" t="s">
        <v>92</v>
      </c>
      <c r="D66" s="39"/>
      <c r="E66" s="277">
        <f>SUM('BoM CLUSTER UG'!C115:L115)</f>
        <v>0</v>
      </c>
      <c r="F66" s="59"/>
      <c r="G66" s="59"/>
      <c r="H66" s="39">
        <f t="shared" si="3"/>
        <v>0</v>
      </c>
      <c r="I66" s="39">
        <f t="shared" si="3"/>
        <v>0</v>
      </c>
      <c r="J66" s="39"/>
      <c r="K66" s="39">
        <f t="shared" si="4"/>
        <v>0</v>
      </c>
      <c r="L66" s="39">
        <f t="shared" si="5"/>
        <v>0</v>
      </c>
      <c r="M66" s="128"/>
      <c r="N66" s="89">
        <v>500002097</v>
      </c>
      <c r="O66" s="90" t="s">
        <v>106</v>
      </c>
      <c r="P66" s="58" t="s">
        <v>21</v>
      </c>
      <c r="Q66" s="104"/>
      <c r="R66" s="97"/>
    </row>
    <row r="67" spans="1:18" ht="12" customHeight="1">
      <c r="A67" s="37"/>
      <c r="B67" s="252" t="s">
        <v>689</v>
      </c>
      <c r="C67" s="295" t="s">
        <v>92</v>
      </c>
      <c r="D67" s="39"/>
      <c r="E67" s="39"/>
      <c r="F67" s="59"/>
      <c r="G67" s="59"/>
      <c r="H67" s="39"/>
      <c r="I67" s="39"/>
      <c r="J67" s="39"/>
      <c r="K67" s="39"/>
      <c r="L67" s="39"/>
      <c r="M67" s="128"/>
      <c r="N67" s="253">
        <v>500004720</v>
      </c>
      <c r="O67" s="252" t="s">
        <v>695</v>
      </c>
      <c r="P67" s="254" t="s">
        <v>21</v>
      </c>
      <c r="Q67" s="104"/>
      <c r="R67" s="97"/>
    </row>
    <row r="68" spans="1:18" ht="12" customHeight="1">
      <c r="A68" s="37"/>
      <c r="B68" s="252" t="s">
        <v>690</v>
      </c>
      <c r="C68" s="295" t="s">
        <v>92</v>
      </c>
      <c r="D68" s="39"/>
      <c r="E68" s="39"/>
      <c r="F68" s="59"/>
      <c r="G68" s="59"/>
      <c r="H68" s="39"/>
      <c r="I68" s="39"/>
      <c r="J68" s="39"/>
      <c r="K68" s="39"/>
      <c r="L68" s="39"/>
      <c r="M68" s="128"/>
      <c r="N68" s="253">
        <v>500004721</v>
      </c>
      <c r="O68" s="252" t="s">
        <v>696</v>
      </c>
      <c r="P68" s="254" t="s">
        <v>21</v>
      </c>
      <c r="Q68" s="104"/>
      <c r="R68" s="97"/>
    </row>
    <row r="69" spans="1:18" ht="12" customHeight="1">
      <c r="A69" s="37"/>
      <c r="B69" s="252" t="s">
        <v>691</v>
      </c>
      <c r="C69" s="295" t="s">
        <v>92</v>
      </c>
      <c r="D69" s="39"/>
      <c r="E69" s="39"/>
      <c r="F69" s="59"/>
      <c r="G69" s="59"/>
      <c r="H69" s="39"/>
      <c r="I69" s="39"/>
      <c r="J69" s="39"/>
      <c r="K69" s="39"/>
      <c r="L69" s="39"/>
      <c r="M69" s="128"/>
      <c r="N69" s="253">
        <v>200002673</v>
      </c>
      <c r="O69" s="252" t="s">
        <v>697</v>
      </c>
      <c r="P69" s="254" t="s">
        <v>24</v>
      </c>
      <c r="Q69" s="104"/>
      <c r="R69" s="97"/>
    </row>
    <row r="70" spans="1:18" ht="12" customHeight="1">
      <c r="A70" s="37"/>
      <c r="B70" s="252" t="s">
        <v>692</v>
      </c>
      <c r="C70" s="295" t="s">
        <v>92</v>
      </c>
      <c r="D70" s="39"/>
      <c r="E70" s="39"/>
      <c r="F70" s="59"/>
      <c r="G70" s="59"/>
      <c r="H70" s="39"/>
      <c r="I70" s="39"/>
      <c r="J70" s="39"/>
      <c r="K70" s="39"/>
      <c r="L70" s="39"/>
      <c r="M70" s="128"/>
      <c r="N70" s="253">
        <v>500004727</v>
      </c>
      <c r="O70" s="252" t="s">
        <v>698</v>
      </c>
      <c r="P70" s="254" t="s">
        <v>21</v>
      </c>
      <c r="Q70" s="104"/>
      <c r="R70" s="97"/>
    </row>
    <row r="71" spans="1:18" ht="12" customHeight="1">
      <c r="A71" s="37"/>
      <c r="B71" s="252" t="s">
        <v>693</v>
      </c>
      <c r="C71" s="295" t="s">
        <v>92</v>
      </c>
      <c r="D71" s="39"/>
      <c r="E71" s="39"/>
      <c r="F71" s="59"/>
      <c r="G71" s="59"/>
      <c r="H71" s="39"/>
      <c r="I71" s="39"/>
      <c r="J71" s="39"/>
      <c r="K71" s="39"/>
      <c r="L71" s="39"/>
      <c r="M71" s="128"/>
      <c r="N71" s="253">
        <v>200002674</v>
      </c>
      <c r="O71" s="252" t="s">
        <v>699</v>
      </c>
      <c r="P71" s="254" t="s">
        <v>24</v>
      </c>
      <c r="Q71" s="104"/>
      <c r="R71" s="97"/>
    </row>
    <row r="72" spans="1:18" ht="12" customHeight="1">
      <c r="A72" s="37"/>
      <c r="B72" s="252" t="s">
        <v>694</v>
      </c>
      <c r="C72" s="295" t="s">
        <v>92</v>
      </c>
      <c r="D72" s="39"/>
      <c r="E72" s="39"/>
      <c r="F72" s="59"/>
      <c r="G72" s="59"/>
      <c r="H72" s="39"/>
      <c r="I72" s="39"/>
      <c r="J72" s="39"/>
      <c r="K72" s="39"/>
      <c r="L72" s="39"/>
      <c r="M72" s="128"/>
      <c r="N72" s="253">
        <v>500004728</v>
      </c>
      <c r="O72" s="252" t="s">
        <v>700</v>
      </c>
      <c r="P72" s="254" t="s">
        <v>21</v>
      </c>
      <c r="Q72" s="104"/>
      <c r="R72" s="97"/>
    </row>
    <row r="73" spans="1:18" ht="12" customHeight="1">
      <c r="A73" s="37" t="s">
        <v>110</v>
      </c>
      <c r="B73" s="57" t="s">
        <v>111</v>
      </c>
      <c r="C73" s="38" t="s">
        <v>92</v>
      </c>
      <c r="D73" s="277">
        <f>--(IF(T$5="TURNKEY",E74))</f>
        <v>0</v>
      </c>
      <c r="E73" s="39"/>
      <c r="F73" s="59"/>
      <c r="G73" s="59"/>
      <c r="H73" s="39">
        <f t="shared" si="3"/>
        <v>0</v>
      </c>
      <c r="I73" s="39">
        <f t="shared" si="3"/>
        <v>0</v>
      </c>
      <c r="J73" s="39"/>
      <c r="K73" s="39">
        <f t="shared" si="4"/>
        <v>0</v>
      </c>
      <c r="L73" s="39">
        <f t="shared" si="5"/>
        <v>0</v>
      </c>
      <c r="M73" s="128"/>
      <c r="N73" s="89">
        <v>200000165</v>
      </c>
      <c r="O73" s="90" t="s">
        <v>112</v>
      </c>
      <c r="P73" s="58" t="s">
        <v>24</v>
      </c>
      <c r="Q73" s="104"/>
      <c r="R73" s="97"/>
    </row>
    <row r="74" spans="1:18" ht="12" customHeight="1">
      <c r="A74" s="37"/>
      <c r="B74" s="57" t="s">
        <v>113</v>
      </c>
      <c r="C74" s="38" t="s">
        <v>92</v>
      </c>
      <c r="D74" s="39"/>
      <c r="E74" s="277">
        <f>SUM('BoM CLUSTER UG'!C117:L117)</f>
        <v>0</v>
      </c>
      <c r="F74" s="59"/>
      <c r="G74" s="59"/>
      <c r="H74" s="39">
        <f t="shared" ref="H74:I78" si="6">D74*F74</f>
        <v>0</v>
      </c>
      <c r="I74" s="39">
        <f t="shared" si="6"/>
        <v>0</v>
      </c>
      <c r="J74" s="39"/>
      <c r="K74" s="39">
        <f t="shared" si="4"/>
        <v>0</v>
      </c>
      <c r="L74" s="39">
        <f t="shared" si="5"/>
        <v>0</v>
      </c>
      <c r="M74" s="128"/>
      <c r="N74" s="89">
        <v>500002113</v>
      </c>
      <c r="O74" s="90" t="s">
        <v>114</v>
      </c>
      <c r="P74" s="58" t="s">
        <v>21</v>
      </c>
      <c r="Q74" s="104"/>
      <c r="R74" s="97"/>
    </row>
    <row r="75" spans="1:18" ht="12" customHeight="1">
      <c r="A75" s="37" t="s">
        <v>115</v>
      </c>
      <c r="B75" s="57" t="s">
        <v>116</v>
      </c>
      <c r="C75" s="38" t="s">
        <v>92</v>
      </c>
      <c r="D75" s="39"/>
      <c r="E75" s="39"/>
      <c r="F75" s="59"/>
      <c r="G75" s="59"/>
      <c r="H75" s="39">
        <f t="shared" si="6"/>
        <v>0</v>
      </c>
      <c r="I75" s="39">
        <f t="shared" si="6"/>
        <v>0</v>
      </c>
      <c r="J75" s="39"/>
      <c r="K75" s="39">
        <f t="shared" si="4"/>
        <v>0</v>
      </c>
      <c r="L75" s="39">
        <f t="shared" si="5"/>
        <v>0</v>
      </c>
      <c r="M75" s="141"/>
      <c r="N75" s="64"/>
      <c r="O75" s="80"/>
      <c r="P75" s="141"/>
      <c r="Q75" s="104"/>
      <c r="R75" s="97"/>
    </row>
    <row r="76" spans="1:18" ht="12" customHeight="1">
      <c r="A76" s="64"/>
      <c r="B76" s="5" t="s">
        <v>117</v>
      </c>
      <c r="C76" s="65" t="s">
        <v>92</v>
      </c>
      <c r="D76" s="276"/>
      <c r="E76" s="276"/>
      <c r="F76" s="59"/>
      <c r="G76" s="59"/>
      <c r="H76" s="39">
        <f t="shared" si="6"/>
        <v>0</v>
      </c>
      <c r="I76" s="39">
        <f t="shared" si="6"/>
        <v>0</v>
      </c>
      <c r="J76" s="39"/>
      <c r="K76" s="39">
        <f t="shared" si="4"/>
        <v>0</v>
      </c>
      <c r="L76" s="39">
        <f t="shared" si="5"/>
        <v>0</v>
      </c>
      <c r="M76" s="141"/>
      <c r="N76" s="155">
        <v>200000182</v>
      </c>
      <c r="O76" s="62" t="s">
        <v>118</v>
      </c>
      <c r="P76" s="58" t="s">
        <v>24</v>
      </c>
      <c r="Q76" s="104"/>
      <c r="R76" s="97"/>
    </row>
    <row r="77" spans="1:18" ht="12" customHeight="1">
      <c r="A77" s="64"/>
      <c r="B77" s="5" t="s">
        <v>119</v>
      </c>
      <c r="C77" s="65" t="s">
        <v>92</v>
      </c>
      <c r="D77" s="276"/>
      <c r="E77" s="276"/>
      <c r="F77" s="59"/>
      <c r="G77" s="59"/>
      <c r="H77" s="39">
        <f t="shared" si="6"/>
        <v>0</v>
      </c>
      <c r="I77" s="39">
        <f t="shared" si="6"/>
        <v>0</v>
      </c>
      <c r="J77" s="39"/>
      <c r="K77" s="39">
        <f t="shared" si="4"/>
        <v>0</v>
      </c>
      <c r="L77" s="39">
        <f t="shared" si="5"/>
        <v>0</v>
      </c>
      <c r="M77" s="141"/>
      <c r="N77" s="89">
        <v>200001048</v>
      </c>
      <c r="O77" s="90" t="s">
        <v>120</v>
      </c>
      <c r="P77" s="58" t="s">
        <v>24</v>
      </c>
      <c r="Q77" s="104"/>
      <c r="R77" s="97"/>
    </row>
    <row r="78" spans="1:18" ht="12" customHeight="1">
      <c r="A78" s="64"/>
      <c r="B78" s="5" t="s">
        <v>121</v>
      </c>
      <c r="C78" s="65" t="s">
        <v>92</v>
      </c>
      <c r="D78" s="276"/>
      <c r="E78" s="276"/>
      <c r="F78" s="59"/>
      <c r="G78" s="59"/>
      <c r="H78" s="39">
        <f t="shared" si="6"/>
        <v>0</v>
      </c>
      <c r="I78" s="39">
        <f t="shared" si="6"/>
        <v>0</v>
      </c>
      <c r="J78" s="39"/>
      <c r="K78" s="39">
        <f t="shared" si="4"/>
        <v>0</v>
      </c>
      <c r="L78" s="39">
        <f t="shared" si="5"/>
        <v>0</v>
      </c>
      <c r="M78" s="141"/>
      <c r="N78" s="155">
        <v>200000159</v>
      </c>
      <c r="O78" s="5" t="s">
        <v>122</v>
      </c>
      <c r="P78" s="58" t="s">
        <v>24</v>
      </c>
      <c r="Q78" s="104"/>
      <c r="R78" s="97"/>
    </row>
    <row r="79" spans="1:18" ht="12" customHeight="1">
      <c r="A79" s="64"/>
      <c r="B79" s="5" t="s">
        <v>123</v>
      </c>
      <c r="C79" s="65" t="s">
        <v>92</v>
      </c>
      <c r="D79" s="276"/>
      <c r="E79" s="276"/>
      <c r="F79" s="59"/>
      <c r="G79" s="59"/>
      <c r="H79" s="39" t="s">
        <v>124</v>
      </c>
      <c r="I79" s="39" t="s">
        <v>124</v>
      </c>
      <c r="J79" s="39"/>
      <c r="K79" s="39"/>
      <c r="L79" s="39"/>
      <c r="M79" s="141"/>
      <c r="N79" s="155">
        <v>200000174</v>
      </c>
      <c r="O79" s="5" t="s">
        <v>125</v>
      </c>
      <c r="P79" s="58"/>
      <c r="Q79" s="104"/>
      <c r="R79" s="97"/>
    </row>
    <row r="80" spans="1:18" ht="12" customHeight="1">
      <c r="A80" s="64"/>
      <c r="B80" s="5" t="s">
        <v>126</v>
      </c>
      <c r="C80" s="65" t="s">
        <v>92</v>
      </c>
      <c r="D80" s="276"/>
      <c r="E80" s="276"/>
      <c r="F80" s="59"/>
      <c r="G80" s="59"/>
      <c r="H80" s="39">
        <f t="shared" ref="H80:I85" si="7">D80*F80</f>
        <v>0</v>
      </c>
      <c r="I80" s="39">
        <f t="shared" si="7"/>
        <v>0</v>
      </c>
      <c r="J80" s="39"/>
      <c r="K80" s="39">
        <f t="shared" ref="K80:K85" si="8">D80+E80</f>
        <v>0</v>
      </c>
      <c r="L80" s="39">
        <f t="shared" ref="L80:L85" si="9">F80+G80</f>
        <v>0</v>
      </c>
      <c r="M80" s="141"/>
      <c r="N80" s="155">
        <v>200000179</v>
      </c>
      <c r="O80" s="5" t="s">
        <v>127</v>
      </c>
      <c r="P80" s="58" t="s">
        <v>24</v>
      </c>
      <c r="Q80" s="104"/>
      <c r="R80" s="97"/>
    </row>
    <row r="81" spans="1:18" ht="12" customHeight="1">
      <c r="A81" s="64"/>
      <c r="B81" s="5" t="s">
        <v>128</v>
      </c>
      <c r="C81" s="65" t="s">
        <v>92</v>
      </c>
      <c r="D81" s="276"/>
      <c r="E81" s="276"/>
      <c r="F81" s="59"/>
      <c r="G81" s="59"/>
      <c r="H81" s="39">
        <f t="shared" si="7"/>
        <v>0</v>
      </c>
      <c r="I81" s="39">
        <f t="shared" si="7"/>
        <v>0</v>
      </c>
      <c r="J81" s="39"/>
      <c r="K81" s="39">
        <f t="shared" si="8"/>
        <v>0</v>
      </c>
      <c r="L81" s="39">
        <f t="shared" si="9"/>
        <v>0</v>
      </c>
      <c r="M81" s="141"/>
      <c r="N81" s="89">
        <v>200000186</v>
      </c>
      <c r="O81" s="90" t="s">
        <v>129</v>
      </c>
      <c r="P81" s="58" t="s">
        <v>24</v>
      </c>
      <c r="Q81" s="104"/>
      <c r="R81" s="97"/>
    </row>
    <row r="82" spans="1:18" ht="12" customHeight="1">
      <c r="A82" s="64"/>
      <c r="B82" s="5" t="s">
        <v>130</v>
      </c>
      <c r="C82" s="65" t="s">
        <v>92</v>
      </c>
      <c r="D82" s="276"/>
      <c r="E82" s="276"/>
      <c r="F82" s="59"/>
      <c r="G82" s="59"/>
      <c r="H82" s="39">
        <f t="shared" si="7"/>
        <v>0</v>
      </c>
      <c r="I82" s="39">
        <f t="shared" si="7"/>
        <v>0</v>
      </c>
      <c r="J82" s="39"/>
      <c r="K82" s="39">
        <f t="shared" si="8"/>
        <v>0</v>
      </c>
      <c r="L82" s="39">
        <f t="shared" si="9"/>
        <v>0</v>
      </c>
      <c r="M82" s="141"/>
      <c r="N82" s="155">
        <v>200000155</v>
      </c>
      <c r="O82" s="5" t="s">
        <v>131</v>
      </c>
      <c r="P82" s="58" t="s">
        <v>24</v>
      </c>
      <c r="Q82" s="104"/>
      <c r="R82" s="97"/>
    </row>
    <row r="83" spans="1:18" ht="12" customHeight="1">
      <c r="A83" s="64"/>
      <c r="B83" s="5" t="s">
        <v>132</v>
      </c>
      <c r="C83" s="65" t="s">
        <v>92</v>
      </c>
      <c r="D83" s="276"/>
      <c r="E83" s="276"/>
      <c r="F83" s="59"/>
      <c r="G83" s="59"/>
      <c r="H83" s="39">
        <f t="shared" si="7"/>
        <v>0</v>
      </c>
      <c r="I83" s="39">
        <f t="shared" si="7"/>
        <v>0</v>
      </c>
      <c r="J83" s="39"/>
      <c r="K83" s="39">
        <f t="shared" si="8"/>
        <v>0</v>
      </c>
      <c r="L83" s="39">
        <f t="shared" si="9"/>
        <v>0</v>
      </c>
      <c r="M83" s="141"/>
      <c r="N83" s="93">
        <v>200000180</v>
      </c>
      <c r="O83" s="94" t="s">
        <v>133</v>
      </c>
      <c r="P83" s="95" t="s">
        <v>24</v>
      </c>
      <c r="Q83" s="109"/>
      <c r="R83" s="97"/>
    </row>
    <row r="84" spans="1:18" ht="12" customHeight="1">
      <c r="A84" s="64"/>
      <c r="B84" s="296" t="s">
        <v>134</v>
      </c>
      <c r="C84" s="65" t="s">
        <v>92</v>
      </c>
      <c r="D84" s="276"/>
      <c r="E84" s="276"/>
      <c r="F84" s="59"/>
      <c r="G84" s="59"/>
      <c r="H84" s="39">
        <f t="shared" si="7"/>
        <v>0</v>
      </c>
      <c r="I84" s="39">
        <f t="shared" si="7"/>
        <v>0</v>
      </c>
      <c r="J84" s="39"/>
      <c r="K84" s="39">
        <f t="shared" si="8"/>
        <v>0</v>
      </c>
      <c r="L84" s="39">
        <f t="shared" si="9"/>
        <v>0</v>
      </c>
      <c r="M84" s="141"/>
      <c r="N84" s="89">
        <v>200001049</v>
      </c>
      <c r="O84" s="90" t="s">
        <v>135</v>
      </c>
      <c r="P84" s="95" t="s">
        <v>24</v>
      </c>
      <c r="Q84" s="110"/>
      <c r="R84" s="111"/>
    </row>
    <row r="85" spans="1:18" ht="12" customHeight="1">
      <c r="A85" s="64"/>
      <c r="B85" s="296" t="s">
        <v>136</v>
      </c>
      <c r="C85" s="65" t="s">
        <v>92</v>
      </c>
      <c r="D85" s="276"/>
      <c r="E85" s="276"/>
      <c r="F85" s="59"/>
      <c r="G85" s="59"/>
      <c r="H85" s="39">
        <f t="shared" si="7"/>
        <v>0</v>
      </c>
      <c r="I85" s="39">
        <f t="shared" si="7"/>
        <v>0</v>
      </c>
      <c r="J85" s="39"/>
      <c r="K85" s="39">
        <f t="shared" si="8"/>
        <v>0</v>
      </c>
      <c r="L85" s="39">
        <f t="shared" si="9"/>
        <v>0</v>
      </c>
      <c r="M85" s="141"/>
      <c r="N85" s="89">
        <v>200000164</v>
      </c>
      <c r="O85" s="90" t="s">
        <v>137</v>
      </c>
      <c r="P85" s="95" t="s">
        <v>24</v>
      </c>
      <c r="Q85" s="110"/>
      <c r="R85" s="111"/>
    </row>
    <row r="86" spans="1:18" ht="12" customHeight="1">
      <c r="A86" s="64"/>
      <c r="B86" s="296" t="s">
        <v>138</v>
      </c>
      <c r="C86" s="65" t="s">
        <v>92</v>
      </c>
      <c r="D86" s="276"/>
      <c r="E86" s="276"/>
      <c r="F86" s="59"/>
      <c r="G86" s="59"/>
      <c r="H86" s="39" t="s">
        <v>124</v>
      </c>
      <c r="I86" s="39" t="s">
        <v>124</v>
      </c>
      <c r="J86" s="39"/>
      <c r="K86" s="39"/>
      <c r="L86" s="39"/>
      <c r="M86" s="141"/>
      <c r="N86" s="89">
        <v>200000178</v>
      </c>
      <c r="O86" s="90" t="s">
        <v>139</v>
      </c>
      <c r="P86" s="95"/>
      <c r="Q86" s="110"/>
      <c r="R86" s="111"/>
    </row>
    <row r="87" spans="1:18" ht="12" customHeight="1">
      <c r="A87" s="64"/>
      <c r="B87" s="296" t="s">
        <v>140</v>
      </c>
      <c r="C87" s="65" t="s">
        <v>92</v>
      </c>
      <c r="D87" s="276"/>
      <c r="E87" s="276"/>
      <c r="F87" s="59"/>
      <c r="G87" s="59"/>
      <c r="H87" s="39">
        <f>D87*F87</f>
        <v>0</v>
      </c>
      <c r="I87" s="39">
        <f>E87*G87</f>
        <v>0</v>
      </c>
      <c r="J87" s="39"/>
      <c r="K87" s="39">
        <f>D87+E87</f>
        <v>0</v>
      </c>
      <c r="L87" s="39">
        <f>F87+G87</f>
        <v>0</v>
      </c>
      <c r="M87" s="141"/>
      <c r="N87" s="89">
        <v>200000176</v>
      </c>
      <c r="O87" s="90" t="s">
        <v>141</v>
      </c>
      <c r="P87" s="95" t="s">
        <v>24</v>
      </c>
      <c r="Q87" s="110"/>
      <c r="R87" s="111"/>
    </row>
    <row r="88" spans="1:18" ht="12" customHeight="1">
      <c r="A88" s="64"/>
      <c r="B88" s="296" t="s">
        <v>142</v>
      </c>
      <c r="C88" s="65" t="s">
        <v>92</v>
      </c>
      <c r="D88" s="276"/>
      <c r="E88" s="276"/>
      <c r="F88" s="59"/>
      <c r="G88" s="59"/>
      <c r="H88" s="39"/>
      <c r="I88" s="39"/>
      <c r="J88" s="39"/>
      <c r="K88" s="39"/>
      <c r="L88" s="39"/>
      <c r="M88" s="141"/>
      <c r="N88" s="89">
        <v>200000158</v>
      </c>
      <c r="O88" s="90" t="s">
        <v>143</v>
      </c>
      <c r="P88" s="95" t="s">
        <v>24</v>
      </c>
      <c r="Q88" s="110"/>
      <c r="R88" s="111"/>
    </row>
    <row r="89" spans="1:18" ht="12" customHeight="1">
      <c r="A89" s="64"/>
      <c r="B89" s="296" t="s">
        <v>144</v>
      </c>
      <c r="C89" s="65" t="s">
        <v>92</v>
      </c>
      <c r="D89" s="276"/>
      <c r="E89" s="276"/>
      <c r="F89" s="59"/>
      <c r="G89" s="59"/>
      <c r="H89" s="39"/>
      <c r="I89" s="39"/>
      <c r="J89" s="39"/>
      <c r="K89" s="39"/>
      <c r="L89" s="39"/>
      <c r="M89" s="141"/>
      <c r="N89" s="89">
        <v>200000156</v>
      </c>
      <c r="O89" s="90" t="s">
        <v>145</v>
      </c>
      <c r="P89" s="95" t="s">
        <v>24</v>
      </c>
      <c r="Q89" s="110"/>
      <c r="R89" s="111"/>
    </row>
    <row r="90" spans="1:18" ht="12" customHeight="1">
      <c r="A90" s="37" t="s">
        <v>146</v>
      </c>
      <c r="B90" s="62" t="s">
        <v>147</v>
      </c>
      <c r="C90" s="38" t="s">
        <v>148</v>
      </c>
      <c r="D90" s="39"/>
      <c r="E90" s="39"/>
      <c r="F90" s="40"/>
      <c r="G90" s="59"/>
      <c r="H90" s="39">
        <f t="shared" ref="H90:I92" si="10">D90*F90</f>
        <v>0</v>
      </c>
      <c r="I90" s="39">
        <f t="shared" si="10"/>
        <v>0</v>
      </c>
      <c r="J90" s="39"/>
      <c r="K90" s="39">
        <f>D90+E90</f>
        <v>0</v>
      </c>
      <c r="L90" s="39">
        <f>F90+G90</f>
        <v>0</v>
      </c>
      <c r="M90" s="141"/>
      <c r="N90" s="38">
        <v>200002408</v>
      </c>
      <c r="O90" s="62" t="s">
        <v>149</v>
      </c>
      <c r="P90" s="58" t="s">
        <v>24</v>
      </c>
      <c r="Q90" s="104"/>
      <c r="R90" s="97"/>
    </row>
    <row r="91" spans="1:18" ht="12" customHeight="1">
      <c r="A91" s="37" t="s">
        <v>150</v>
      </c>
      <c r="B91" s="57" t="s">
        <v>151</v>
      </c>
      <c r="C91" s="65" t="s">
        <v>148</v>
      </c>
      <c r="D91" s="39"/>
      <c r="E91" s="39"/>
      <c r="F91" s="59"/>
      <c r="G91" s="59"/>
      <c r="H91" s="39">
        <f t="shared" si="10"/>
        <v>0</v>
      </c>
      <c r="I91" s="39">
        <f t="shared" si="10"/>
        <v>0</v>
      </c>
      <c r="J91" s="39"/>
      <c r="K91" s="39">
        <f>D91+E91</f>
        <v>0</v>
      </c>
      <c r="L91" s="39">
        <f>F91+G91</f>
        <v>0</v>
      </c>
      <c r="M91" s="141"/>
      <c r="N91" s="89">
        <v>200001009</v>
      </c>
      <c r="O91" s="90" t="s">
        <v>152</v>
      </c>
      <c r="P91" s="58" t="s">
        <v>24</v>
      </c>
      <c r="Q91" s="104"/>
      <c r="R91" s="97"/>
    </row>
    <row r="92" spans="1:18" ht="12" customHeight="1">
      <c r="A92" s="37" t="s">
        <v>153</v>
      </c>
      <c r="B92" s="62" t="s">
        <v>154</v>
      </c>
      <c r="C92" s="38" t="s">
        <v>155</v>
      </c>
      <c r="D92" s="39"/>
      <c r="E92" s="241">
        <f>SUM('BoM CLUSTER UG'!C94:L95)</f>
        <v>0</v>
      </c>
      <c r="F92" s="59"/>
      <c r="G92" s="40"/>
      <c r="H92" s="39">
        <f t="shared" si="10"/>
        <v>0</v>
      </c>
      <c r="I92" s="39">
        <f t="shared" si="10"/>
        <v>0</v>
      </c>
      <c r="J92" s="39"/>
      <c r="K92" s="39">
        <f>D92+E92</f>
        <v>0</v>
      </c>
      <c r="L92" s="39">
        <f>F92+G92</f>
        <v>0</v>
      </c>
      <c r="M92" s="141"/>
      <c r="N92" s="38">
        <v>500000510</v>
      </c>
      <c r="O92" s="62" t="s">
        <v>156</v>
      </c>
      <c r="P92" s="58" t="s">
        <v>21</v>
      </c>
      <c r="Q92" s="104"/>
      <c r="R92" s="97"/>
    </row>
    <row r="93" spans="1:18" ht="12" customHeight="1">
      <c r="A93" s="37"/>
      <c r="B93" s="62" t="s">
        <v>157</v>
      </c>
      <c r="C93" s="38" t="s">
        <v>148</v>
      </c>
      <c r="D93" s="39"/>
      <c r="E93" s="276"/>
      <c r="F93" s="59"/>
      <c r="G93" s="40"/>
      <c r="H93" s="39">
        <v>0</v>
      </c>
      <c r="I93" s="39">
        <v>0</v>
      </c>
      <c r="J93" s="39"/>
      <c r="K93" s="39">
        <v>0</v>
      </c>
      <c r="L93" s="39">
        <v>0</v>
      </c>
      <c r="M93" s="141"/>
      <c r="N93" s="38">
        <v>200000232</v>
      </c>
      <c r="O93" s="62" t="s">
        <v>157</v>
      </c>
      <c r="P93" s="58" t="s">
        <v>24</v>
      </c>
      <c r="Q93" s="104" t="s">
        <v>158</v>
      </c>
      <c r="R93" s="97"/>
    </row>
    <row r="94" spans="1:18" ht="12" customHeight="1">
      <c r="A94" s="37" t="s">
        <v>159</v>
      </c>
      <c r="B94" s="62" t="s">
        <v>160</v>
      </c>
      <c r="C94" s="38" t="s">
        <v>148</v>
      </c>
      <c r="D94" s="276"/>
      <c r="E94" s="241">
        <f>SUM('BoM CLUSTER UG'!C70:L70)</f>
        <v>0</v>
      </c>
      <c r="F94" s="40"/>
      <c r="G94" s="294"/>
      <c r="H94" s="39">
        <f t="shared" ref="H94:I104" si="11">D94*F94</f>
        <v>0</v>
      </c>
      <c r="I94" s="39">
        <f t="shared" si="11"/>
        <v>0</v>
      </c>
      <c r="J94" s="39"/>
      <c r="K94" s="39">
        <f t="shared" ref="K94:K104" si="12">D94+E94</f>
        <v>0</v>
      </c>
      <c r="L94" s="39">
        <f t="shared" ref="L94:L104" si="13">F94+G94</f>
        <v>0</v>
      </c>
      <c r="M94" s="141"/>
      <c r="N94" s="38">
        <v>200000290</v>
      </c>
      <c r="O94" s="62" t="s">
        <v>161</v>
      </c>
      <c r="P94" s="58" t="s">
        <v>24</v>
      </c>
      <c r="Q94" s="104"/>
      <c r="R94" s="97"/>
    </row>
    <row r="95" spans="1:18" ht="12" customHeight="1">
      <c r="A95" s="37" t="s">
        <v>162</v>
      </c>
      <c r="B95" s="62" t="s">
        <v>163</v>
      </c>
      <c r="C95" s="38" t="s">
        <v>148</v>
      </c>
      <c r="D95" s="276"/>
      <c r="E95" s="241">
        <f>SUM('BoM CLUSTER UG'!C71:L71)</f>
        <v>0</v>
      </c>
      <c r="F95" s="40"/>
      <c r="G95" s="294"/>
      <c r="H95" s="39">
        <f t="shared" si="11"/>
        <v>0</v>
      </c>
      <c r="I95" s="39">
        <f t="shared" si="11"/>
        <v>0</v>
      </c>
      <c r="J95" s="39"/>
      <c r="K95" s="39">
        <f t="shared" si="12"/>
        <v>0</v>
      </c>
      <c r="L95" s="39">
        <f t="shared" si="13"/>
        <v>0</v>
      </c>
      <c r="M95" s="141"/>
      <c r="N95" s="38">
        <v>200000273</v>
      </c>
      <c r="O95" s="62" t="s">
        <v>164</v>
      </c>
      <c r="P95" s="58" t="s">
        <v>24</v>
      </c>
      <c r="Q95" s="104"/>
      <c r="R95" s="97"/>
    </row>
    <row r="96" spans="1:18" ht="12" customHeight="1">
      <c r="A96" s="37" t="s">
        <v>165</v>
      </c>
      <c r="B96" s="62" t="s">
        <v>166</v>
      </c>
      <c r="C96" s="38" t="s">
        <v>148</v>
      </c>
      <c r="D96" s="276"/>
      <c r="E96" s="241">
        <f>SUM('BoM CLUSTER UG'!C72:L72)</f>
        <v>0</v>
      </c>
      <c r="F96" s="40"/>
      <c r="G96" s="294"/>
      <c r="H96" s="39">
        <f t="shared" si="11"/>
        <v>0</v>
      </c>
      <c r="I96" s="39">
        <f t="shared" si="11"/>
        <v>0</v>
      </c>
      <c r="J96" s="39"/>
      <c r="K96" s="39">
        <f t="shared" si="12"/>
        <v>0</v>
      </c>
      <c r="L96" s="39">
        <f t="shared" si="13"/>
        <v>0</v>
      </c>
      <c r="M96" s="141"/>
      <c r="N96" s="38">
        <v>200000288</v>
      </c>
      <c r="O96" s="62" t="s">
        <v>167</v>
      </c>
      <c r="P96" s="58" t="s">
        <v>24</v>
      </c>
      <c r="Q96" s="104"/>
      <c r="R96" s="97"/>
    </row>
    <row r="97" spans="1:26" ht="12" customHeight="1">
      <c r="A97" s="37" t="s">
        <v>168</v>
      </c>
      <c r="B97" s="62" t="s">
        <v>169</v>
      </c>
      <c r="C97" s="38" t="s">
        <v>148</v>
      </c>
      <c r="D97" s="276"/>
      <c r="E97" s="241">
        <f>SUM('BoM CLUSTER UG'!C73:L73)</f>
        <v>0</v>
      </c>
      <c r="F97" s="40"/>
      <c r="G97" s="294"/>
      <c r="H97" s="39">
        <f t="shared" si="11"/>
        <v>0</v>
      </c>
      <c r="I97" s="39">
        <f t="shared" si="11"/>
        <v>0</v>
      </c>
      <c r="J97" s="39"/>
      <c r="K97" s="39">
        <f t="shared" si="12"/>
        <v>0</v>
      </c>
      <c r="L97" s="39">
        <f t="shared" si="13"/>
        <v>0</v>
      </c>
      <c r="M97" s="141"/>
      <c r="N97" s="38">
        <v>500001742</v>
      </c>
      <c r="O97" s="62" t="s">
        <v>170</v>
      </c>
      <c r="P97" s="58" t="s">
        <v>24</v>
      </c>
      <c r="Q97" s="104"/>
      <c r="R97" s="97"/>
    </row>
    <row r="98" spans="1:26" ht="12" customHeight="1">
      <c r="A98" s="37" t="s">
        <v>171</v>
      </c>
      <c r="B98" s="62" t="s">
        <v>172</v>
      </c>
      <c r="C98" s="38" t="s">
        <v>148</v>
      </c>
      <c r="D98" s="276"/>
      <c r="E98" s="241">
        <f>SUM('BoM CLUSTER UG'!C117:L117)</f>
        <v>0</v>
      </c>
      <c r="F98" s="59"/>
      <c r="G98" s="59"/>
      <c r="H98" s="39">
        <f t="shared" si="11"/>
        <v>0</v>
      </c>
      <c r="I98" s="39">
        <f t="shared" si="11"/>
        <v>0</v>
      </c>
      <c r="J98" s="39"/>
      <c r="K98" s="39">
        <f t="shared" si="12"/>
        <v>0</v>
      </c>
      <c r="L98" s="39">
        <f t="shared" si="13"/>
        <v>0</v>
      </c>
      <c r="M98" s="141"/>
      <c r="N98" s="38">
        <v>200000802</v>
      </c>
      <c r="O98" s="62" t="s">
        <v>173</v>
      </c>
      <c r="P98" s="58" t="s">
        <v>24</v>
      </c>
      <c r="Q98" s="104"/>
      <c r="R98" s="97"/>
    </row>
    <row r="99" spans="1:26" ht="12" customHeight="1">
      <c r="A99" s="37" t="s">
        <v>174</v>
      </c>
      <c r="B99" s="62" t="s">
        <v>175</v>
      </c>
      <c r="C99" s="38" t="s">
        <v>33</v>
      </c>
      <c r="D99" s="39"/>
      <c r="E99" s="39"/>
      <c r="F99" s="59"/>
      <c r="G99" s="59"/>
      <c r="H99" s="39">
        <f t="shared" si="11"/>
        <v>0</v>
      </c>
      <c r="I99" s="39">
        <f t="shared" si="11"/>
        <v>0</v>
      </c>
      <c r="J99" s="39"/>
      <c r="K99" s="39">
        <f t="shared" si="12"/>
        <v>0</v>
      </c>
      <c r="L99" s="39">
        <f t="shared" si="13"/>
        <v>0</v>
      </c>
      <c r="M99" s="141"/>
      <c r="N99" s="38"/>
      <c r="O99" s="62"/>
      <c r="P99" s="58"/>
      <c r="Q99" s="104"/>
      <c r="R99" s="97"/>
    </row>
    <row r="100" spans="1:26" ht="12" customHeight="1">
      <c r="A100" s="37"/>
      <c r="B100" s="62" t="s">
        <v>176</v>
      </c>
      <c r="C100" s="38" t="s">
        <v>33</v>
      </c>
      <c r="D100" s="39"/>
      <c r="E100" s="39"/>
      <c r="F100" s="59"/>
      <c r="G100" s="59"/>
      <c r="H100" s="39">
        <f t="shared" si="11"/>
        <v>0</v>
      </c>
      <c r="I100" s="39">
        <f t="shared" si="11"/>
        <v>0</v>
      </c>
      <c r="J100" s="39"/>
      <c r="K100" s="39">
        <f t="shared" si="12"/>
        <v>0</v>
      </c>
      <c r="L100" s="39">
        <f t="shared" si="13"/>
        <v>0</v>
      </c>
      <c r="M100" s="141"/>
      <c r="N100" s="89">
        <v>200001028</v>
      </c>
      <c r="O100" s="90" t="s">
        <v>177</v>
      </c>
      <c r="P100" s="58" t="s">
        <v>24</v>
      </c>
      <c r="Q100" s="104"/>
      <c r="R100" s="97"/>
    </row>
    <row r="101" spans="1:26" ht="12" customHeight="1">
      <c r="A101" s="37"/>
      <c r="B101" s="62" t="s">
        <v>178</v>
      </c>
      <c r="C101" s="37" t="s">
        <v>65</v>
      </c>
      <c r="D101" s="39"/>
      <c r="E101" s="39"/>
      <c r="F101" s="49"/>
      <c r="G101" s="49"/>
      <c r="H101" s="87">
        <f t="shared" si="11"/>
        <v>0</v>
      </c>
      <c r="I101" s="87">
        <f t="shared" si="11"/>
        <v>0</v>
      </c>
      <c r="J101" s="87"/>
      <c r="K101" s="39">
        <f t="shared" si="12"/>
        <v>0</v>
      </c>
      <c r="L101" s="39">
        <f t="shared" si="13"/>
        <v>0</v>
      </c>
      <c r="M101" s="141"/>
      <c r="N101" s="89">
        <v>200001011</v>
      </c>
      <c r="O101" s="90" t="s">
        <v>179</v>
      </c>
      <c r="P101" s="58" t="s">
        <v>24</v>
      </c>
      <c r="Q101" s="104"/>
      <c r="R101" s="97"/>
    </row>
    <row r="102" spans="1:26" ht="12" customHeight="1">
      <c r="A102" s="37"/>
      <c r="B102" s="112" t="s">
        <v>180</v>
      </c>
      <c r="C102" s="37" t="s">
        <v>65</v>
      </c>
      <c r="D102" s="39"/>
      <c r="E102" s="39"/>
      <c r="F102" s="49"/>
      <c r="G102" s="49"/>
      <c r="H102" s="87">
        <f t="shared" si="11"/>
        <v>0</v>
      </c>
      <c r="I102" s="87">
        <f t="shared" si="11"/>
        <v>0</v>
      </c>
      <c r="J102" s="87"/>
      <c r="K102" s="39">
        <f t="shared" si="12"/>
        <v>0</v>
      </c>
      <c r="L102" s="39">
        <f t="shared" si="13"/>
        <v>0</v>
      </c>
      <c r="M102" s="141"/>
      <c r="N102" s="89">
        <v>500002092</v>
      </c>
      <c r="O102" s="90" t="s">
        <v>181</v>
      </c>
      <c r="P102" s="58" t="s">
        <v>21</v>
      </c>
      <c r="Q102" s="130"/>
      <c r="R102" s="131"/>
    </row>
    <row r="103" spans="1:26" ht="12" customHeight="1">
      <c r="A103" s="37"/>
      <c r="B103" s="112" t="s">
        <v>182</v>
      </c>
      <c r="C103" s="37" t="s">
        <v>65</v>
      </c>
      <c r="D103" s="39"/>
      <c r="E103" s="39"/>
      <c r="F103" s="58"/>
      <c r="G103" s="58"/>
      <c r="H103" s="87">
        <f t="shared" si="11"/>
        <v>0</v>
      </c>
      <c r="I103" s="87">
        <f t="shared" si="11"/>
        <v>0</v>
      </c>
      <c r="J103" s="87"/>
      <c r="K103" s="39">
        <f t="shared" si="12"/>
        <v>0</v>
      </c>
      <c r="L103" s="79">
        <f t="shared" si="13"/>
        <v>0</v>
      </c>
      <c r="M103" s="141"/>
      <c r="N103" s="89">
        <v>500002093</v>
      </c>
      <c r="O103" s="90" t="s">
        <v>183</v>
      </c>
      <c r="P103" s="58" t="s">
        <v>21</v>
      </c>
      <c r="Q103" s="130"/>
      <c r="R103" s="131"/>
    </row>
    <row r="104" spans="1:26" ht="12" customHeight="1">
      <c r="A104" s="37"/>
      <c r="B104" s="112" t="s">
        <v>184</v>
      </c>
      <c r="C104" s="37" t="s">
        <v>65</v>
      </c>
      <c r="D104" s="39"/>
      <c r="E104" s="39"/>
      <c r="F104" s="58"/>
      <c r="G104" s="58"/>
      <c r="H104" s="87">
        <f t="shared" si="11"/>
        <v>0</v>
      </c>
      <c r="I104" s="87">
        <f t="shared" si="11"/>
        <v>0</v>
      </c>
      <c r="J104" s="87"/>
      <c r="K104" s="39">
        <f t="shared" si="12"/>
        <v>0</v>
      </c>
      <c r="L104" s="79">
        <f t="shared" si="13"/>
        <v>0</v>
      </c>
      <c r="M104" s="141"/>
      <c r="N104" s="89">
        <v>500002094</v>
      </c>
      <c r="O104" s="90" t="s">
        <v>185</v>
      </c>
      <c r="P104" s="58" t="s">
        <v>21</v>
      </c>
      <c r="Q104" s="130"/>
      <c r="R104" s="131"/>
    </row>
    <row r="105" spans="1:26" s="10" customFormat="1">
      <c r="A105" s="113" t="s">
        <v>186</v>
      </c>
      <c r="B105" s="114"/>
      <c r="C105" s="114"/>
      <c r="D105" s="45"/>
      <c r="E105" s="45"/>
      <c r="F105" s="114"/>
      <c r="G105" s="114"/>
      <c r="H105" s="45">
        <f>SUM(H15:H104)</f>
        <v>0</v>
      </c>
      <c r="I105" s="45">
        <f>SUM(I15:I104)</f>
        <v>0</v>
      </c>
      <c r="J105" s="45">
        <f>H105+I105</f>
        <v>0</v>
      </c>
      <c r="K105" s="45"/>
      <c r="L105" s="45"/>
      <c r="M105" s="45"/>
      <c r="N105" s="123"/>
      <c r="O105" s="123"/>
      <c r="P105" s="45"/>
      <c r="Q105" s="105"/>
      <c r="R105" s="106"/>
      <c r="S105" s="16"/>
      <c r="T105" s="16"/>
      <c r="U105" s="16"/>
      <c r="V105" s="16"/>
      <c r="W105" s="16"/>
      <c r="X105" s="16"/>
      <c r="Y105" s="16"/>
      <c r="Z105" s="16"/>
    </row>
    <row r="106" spans="1:26">
      <c r="A106" s="115"/>
      <c r="B106" s="116"/>
      <c r="C106" s="117"/>
      <c r="D106" s="188"/>
      <c r="E106" s="188"/>
      <c r="F106" s="117"/>
      <c r="G106" s="117"/>
      <c r="H106" s="118"/>
      <c r="I106" s="118"/>
      <c r="J106" s="118"/>
      <c r="K106" s="118"/>
      <c r="L106" s="118"/>
      <c r="M106" s="124"/>
      <c r="N106" s="125"/>
      <c r="O106" s="125"/>
      <c r="P106" s="126"/>
      <c r="Q106" s="104"/>
      <c r="R106" s="97"/>
    </row>
    <row r="107" spans="1:26" s="9" customFormat="1">
      <c r="A107" s="32">
        <v>2.2000000000000002</v>
      </c>
      <c r="B107" s="119" t="s">
        <v>187</v>
      </c>
      <c r="C107" s="34"/>
      <c r="D107" s="35"/>
      <c r="E107" s="35"/>
      <c r="F107" s="34"/>
      <c r="G107" s="34"/>
      <c r="H107" s="34"/>
      <c r="I107" s="34"/>
      <c r="J107" s="78"/>
      <c r="K107" s="34"/>
      <c r="L107" s="34"/>
      <c r="M107" s="36"/>
      <c r="N107" s="78"/>
      <c r="O107" s="78"/>
      <c r="P107" s="36"/>
      <c r="Q107" s="104"/>
      <c r="R107" s="97"/>
      <c r="S107" s="16"/>
      <c r="T107" s="16"/>
      <c r="U107" s="16"/>
      <c r="V107" s="16"/>
      <c r="W107" s="16"/>
      <c r="X107" s="16"/>
      <c r="Y107" s="16"/>
      <c r="Z107" s="16"/>
    </row>
    <row r="108" spans="1:26" ht="25.5">
      <c r="A108" s="37" t="s">
        <v>30</v>
      </c>
      <c r="B108" s="120" t="s">
        <v>188</v>
      </c>
      <c r="C108" s="38"/>
      <c r="D108" s="39"/>
      <c r="E108" s="39"/>
      <c r="F108" s="49"/>
      <c r="G108" s="49"/>
      <c r="H108" s="58"/>
      <c r="I108" s="58"/>
      <c r="J108" s="58"/>
      <c r="K108" s="39">
        <f t="shared" ref="K108:K119" si="14">D108+E108</f>
        <v>0</v>
      </c>
      <c r="L108" s="79">
        <f t="shared" ref="L108:L119" si="15">F108+G108</f>
        <v>0</v>
      </c>
      <c r="M108" s="141"/>
      <c r="N108" s="64"/>
      <c r="O108" s="64"/>
      <c r="P108" s="141"/>
      <c r="Q108" s="104"/>
      <c r="R108" s="97"/>
    </row>
    <row r="109" spans="1:26">
      <c r="A109" s="37"/>
      <c r="B109" s="121" t="s">
        <v>189</v>
      </c>
      <c r="C109" s="38" t="s">
        <v>33</v>
      </c>
      <c r="D109" s="39"/>
      <c r="E109" s="39"/>
      <c r="F109" s="49"/>
      <c r="G109" s="49"/>
      <c r="H109" s="49">
        <f t="shared" ref="H109:I119" si="16">D109*F109</f>
        <v>0</v>
      </c>
      <c r="I109" s="49">
        <f t="shared" si="16"/>
        <v>0</v>
      </c>
      <c r="J109" s="49"/>
      <c r="K109" s="39">
        <f t="shared" si="14"/>
        <v>0</v>
      </c>
      <c r="L109" s="79">
        <f t="shared" si="15"/>
        <v>0</v>
      </c>
      <c r="M109" s="141"/>
      <c r="N109" s="64">
        <v>500002115</v>
      </c>
      <c r="O109" s="127" t="s">
        <v>190</v>
      </c>
      <c r="P109" s="58" t="s">
        <v>21</v>
      </c>
      <c r="Q109" s="104"/>
      <c r="R109" s="97"/>
    </row>
    <row r="110" spans="1:26">
      <c r="A110" s="37"/>
      <c r="B110" s="122" t="s">
        <v>191</v>
      </c>
      <c r="C110" s="38" t="s">
        <v>33</v>
      </c>
      <c r="D110" s="39"/>
      <c r="E110" s="39">
        <f>SUM('BoM CLUSTER UG'!C104:L104)</f>
        <v>0</v>
      </c>
      <c r="F110" s="49"/>
      <c r="G110" s="49"/>
      <c r="H110" s="49">
        <f t="shared" si="16"/>
        <v>0</v>
      </c>
      <c r="I110" s="49">
        <f t="shared" si="16"/>
        <v>0</v>
      </c>
      <c r="J110" s="49"/>
      <c r="K110" s="39">
        <f t="shared" si="14"/>
        <v>0</v>
      </c>
      <c r="L110" s="79">
        <f t="shared" si="15"/>
        <v>0</v>
      </c>
      <c r="M110" s="141"/>
      <c r="N110" s="64">
        <v>500002116</v>
      </c>
      <c r="O110" s="127" t="s">
        <v>192</v>
      </c>
      <c r="P110" s="58" t="s">
        <v>21</v>
      </c>
      <c r="Q110" s="104"/>
      <c r="R110" s="97"/>
    </row>
    <row r="111" spans="1:26" ht="25.5">
      <c r="A111" s="37" t="s">
        <v>62</v>
      </c>
      <c r="B111" s="122" t="s">
        <v>193</v>
      </c>
      <c r="C111" s="38"/>
      <c r="D111" s="39"/>
      <c r="E111" s="39"/>
      <c r="F111" s="49"/>
      <c r="G111" s="49"/>
      <c r="H111" s="49">
        <f t="shared" si="16"/>
        <v>0</v>
      </c>
      <c r="I111" s="49">
        <f t="shared" si="16"/>
        <v>0</v>
      </c>
      <c r="J111" s="49"/>
      <c r="K111" s="39">
        <f t="shared" si="14"/>
        <v>0</v>
      </c>
      <c r="L111" s="79">
        <f t="shared" si="15"/>
        <v>0</v>
      </c>
      <c r="M111" s="141"/>
      <c r="N111" s="64"/>
      <c r="O111" s="64"/>
      <c r="P111" s="141"/>
      <c r="Q111" s="104"/>
      <c r="R111" s="97"/>
    </row>
    <row r="112" spans="1:26">
      <c r="A112" s="37"/>
      <c r="B112" s="122" t="s">
        <v>194</v>
      </c>
      <c r="C112" s="38" t="s">
        <v>33</v>
      </c>
      <c r="D112" s="39"/>
      <c r="E112" s="39">
        <f>SUM('BoM CLUSTER UG'!C105:L105)</f>
        <v>0</v>
      </c>
      <c r="F112" s="49"/>
      <c r="G112" s="49"/>
      <c r="H112" s="49">
        <f t="shared" si="16"/>
        <v>0</v>
      </c>
      <c r="I112" s="49">
        <f t="shared" si="16"/>
        <v>0</v>
      </c>
      <c r="J112" s="49"/>
      <c r="K112" s="39">
        <f t="shared" si="14"/>
        <v>0</v>
      </c>
      <c r="L112" s="79">
        <f t="shared" si="15"/>
        <v>0</v>
      </c>
      <c r="M112" s="141"/>
      <c r="N112" s="89">
        <v>500002117</v>
      </c>
      <c r="O112" s="90" t="s">
        <v>195</v>
      </c>
      <c r="P112" s="58" t="s">
        <v>21</v>
      </c>
      <c r="Q112" s="104"/>
      <c r="R112" s="97"/>
    </row>
    <row r="113" spans="1:26">
      <c r="A113" s="37"/>
      <c r="B113" s="122" t="s">
        <v>196</v>
      </c>
      <c r="C113" s="38" t="s">
        <v>33</v>
      </c>
      <c r="D113" s="39"/>
      <c r="E113" s="39"/>
      <c r="F113" s="49"/>
      <c r="G113" s="49"/>
      <c r="H113" s="49">
        <f t="shared" si="16"/>
        <v>0</v>
      </c>
      <c r="I113" s="49">
        <f t="shared" si="16"/>
        <v>0</v>
      </c>
      <c r="J113" s="49"/>
      <c r="K113" s="39">
        <f t="shared" si="14"/>
        <v>0</v>
      </c>
      <c r="L113" s="79">
        <f t="shared" si="15"/>
        <v>0</v>
      </c>
      <c r="M113" s="141"/>
      <c r="N113" s="89">
        <v>500002118</v>
      </c>
      <c r="O113" s="90" t="s">
        <v>197</v>
      </c>
      <c r="P113" s="58" t="s">
        <v>21</v>
      </c>
      <c r="Q113" s="104"/>
      <c r="R113" s="97"/>
    </row>
    <row r="114" spans="1:26">
      <c r="A114" s="37"/>
      <c r="B114" s="122" t="s">
        <v>198</v>
      </c>
      <c r="C114" s="38" t="s">
        <v>33</v>
      </c>
      <c r="D114" s="39"/>
      <c r="E114" s="39"/>
      <c r="F114" s="49"/>
      <c r="G114" s="49"/>
      <c r="H114" s="49">
        <f t="shared" si="16"/>
        <v>0</v>
      </c>
      <c r="I114" s="49">
        <f t="shared" si="16"/>
        <v>0</v>
      </c>
      <c r="J114" s="49"/>
      <c r="K114" s="39">
        <f t="shared" si="14"/>
        <v>0</v>
      </c>
      <c r="L114" s="79">
        <f t="shared" si="15"/>
        <v>0</v>
      </c>
      <c r="M114" s="141"/>
      <c r="N114" s="89">
        <v>500002119</v>
      </c>
      <c r="O114" s="90" t="s">
        <v>199</v>
      </c>
      <c r="P114" s="58" t="s">
        <v>21</v>
      </c>
      <c r="Q114" s="104"/>
      <c r="R114" s="97"/>
    </row>
    <row r="115" spans="1:26">
      <c r="A115" s="37"/>
      <c r="B115" s="122" t="s">
        <v>200</v>
      </c>
      <c r="C115" s="38" t="s">
        <v>33</v>
      </c>
      <c r="D115" s="39"/>
      <c r="E115" s="39"/>
      <c r="F115" s="49"/>
      <c r="G115" s="49"/>
      <c r="H115" s="49">
        <f t="shared" si="16"/>
        <v>0</v>
      </c>
      <c r="I115" s="49">
        <f t="shared" si="16"/>
        <v>0</v>
      </c>
      <c r="J115" s="49"/>
      <c r="K115" s="39">
        <f t="shared" si="14"/>
        <v>0</v>
      </c>
      <c r="L115" s="79">
        <f t="shared" si="15"/>
        <v>0</v>
      </c>
      <c r="M115" s="141"/>
      <c r="N115" s="89">
        <v>500002120</v>
      </c>
      <c r="O115" s="90" t="s">
        <v>201</v>
      </c>
      <c r="P115" s="58" t="s">
        <v>21</v>
      </c>
      <c r="Q115" s="104"/>
      <c r="R115" s="97"/>
    </row>
    <row r="116" spans="1:26">
      <c r="A116" s="37"/>
      <c r="B116" s="122" t="s">
        <v>202</v>
      </c>
      <c r="C116" s="38" t="s">
        <v>33</v>
      </c>
      <c r="D116" s="39"/>
      <c r="E116" s="39"/>
      <c r="F116" s="49"/>
      <c r="G116" s="49"/>
      <c r="H116" s="49">
        <f t="shared" si="16"/>
        <v>0</v>
      </c>
      <c r="I116" s="49">
        <f t="shared" si="16"/>
        <v>0</v>
      </c>
      <c r="J116" s="49"/>
      <c r="K116" s="39">
        <f t="shared" si="14"/>
        <v>0</v>
      </c>
      <c r="L116" s="79">
        <f t="shared" si="15"/>
        <v>0</v>
      </c>
      <c r="M116" s="141"/>
      <c r="N116" s="38">
        <v>500000879</v>
      </c>
      <c r="O116" s="127" t="s">
        <v>203</v>
      </c>
      <c r="P116" s="58" t="s">
        <v>21</v>
      </c>
      <c r="Q116" s="104"/>
      <c r="R116" s="97"/>
    </row>
    <row r="117" spans="1:26">
      <c r="A117" s="37"/>
      <c r="B117" s="122" t="s">
        <v>204</v>
      </c>
      <c r="C117" s="38" t="s">
        <v>33</v>
      </c>
      <c r="D117" s="39"/>
      <c r="E117" s="39"/>
      <c r="F117" s="49"/>
      <c r="G117" s="49"/>
      <c r="H117" s="49">
        <f t="shared" si="16"/>
        <v>0</v>
      </c>
      <c r="I117" s="49">
        <f t="shared" si="16"/>
        <v>0</v>
      </c>
      <c r="J117" s="49"/>
      <c r="K117" s="39">
        <f t="shared" si="14"/>
        <v>0</v>
      </c>
      <c r="L117" s="79">
        <f t="shared" si="15"/>
        <v>0</v>
      </c>
      <c r="M117" s="141"/>
      <c r="N117" s="89">
        <v>500002121</v>
      </c>
      <c r="O117" s="90" t="s">
        <v>205</v>
      </c>
      <c r="P117" s="58" t="s">
        <v>21</v>
      </c>
      <c r="Q117" s="104"/>
      <c r="R117" s="97"/>
    </row>
    <row r="118" spans="1:26">
      <c r="A118" s="37"/>
      <c r="B118" s="122" t="s">
        <v>206</v>
      </c>
      <c r="C118" s="38" t="s">
        <v>207</v>
      </c>
      <c r="D118" s="39"/>
      <c r="E118" s="39"/>
      <c r="F118" s="49"/>
      <c r="G118" s="49"/>
      <c r="H118" s="49">
        <f t="shared" si="16"/>
        <v>0</v>
      </c>
      <c r="I118" s="49">
        <f t="shared" si="16"/>
        <v>0</v>
      </c>
      <c r="J118" s="49"/>
      <c r="K118" s="39">
        <f t="shared" si="14"/>
        <v>0</v>
      </c>
      <c r="L118" s="79">
        <f t="shared" si="15"/>
        <v>0</v>
      </c>
      <c r="M118" s="141"/>
      <c r="N118" s="38">
        <v>200000399</v>
      </c>
      <c r="O118" s="127" t="s">
        <v>208</v>
      </c>
      <c r="P118" s="58" t="s">
        <v>21</v>
      </c>
      <c r="Q118" s="104"/>
      <c r="R118" s="97"/>
    </row>
    <row r="119" spans="1:26">
      <c r="A119" s="37"/>
      <c r="B119" s="122" t="s">
        <v>209</v>
      </c>
      <c r="C119" s="38" t="s">
        <v>33</v>
      </c>
      <c r="D119" s="39"/>
      <c r="E119" s="39"/>
      <c r="F119" s="49"/>
      <c r="G119" s="49"/>
      <c r="H119" s="49">
        <f t="shared" si="16"/>
        <v>0</v>
      </c>
      <c r="I119" s="49">
        <f t="shared" si="16"/>
        <v>0</v>
      </c>
      <c r="J119" s="49"/>
      <c r="K119" s="39">
        <f t="shared" si="14"/>
        <v>0</v>
      </c>
      <c r="L119" s="39">
        <f t="shared" si="15"/>
        <v>0</v>
      </c>
      <c r="M119" s="141"/>
      <c r="N119" s="38">
        <v>500000980</v>
      </c>
      <c r="O119" s="127" t="s">
        <v>210</v>
      </c>
      <c r="P119" s="58" t="s">
        <v>21</v>
      </c>
      <c r="Q119" s="104"/>
      <c r="R119" s="97"/>
    </row>
    <row r="120" spans="1:26">
      <c r="A120" s="37"/>
      <c r="B120" s="122" t="s">
        <v>211</v>
      </c>
      <c r="C120" s="38" t="s">
        <v>33</v>
      </c>
      <c r="D120" s="39"/>
      <c r="E120" s="39"/>
      <c r="F120" s="49"/>
      <c r="G120" s="49"/>
      <c r="H120" s="49"/>
      <c r="I120" s="49"/>
      <c r="J120" s="49"/>
      <c r="K120" s="39"/>
      <c r="L120" s="39"/>
      <c r="M120" s="141"/>
      <c r="N120" s="38">
        <v>500003620</v>
      </c>
      <c r="O120" s="127" t="s">
        <v>212</v>
      </c>
      <c r="P120" s="58" t="s">
        <v>21</v>
      </c>
      <c r="Q120" s="104"/>
      <c r="R120" s="97"/>
    </row>
    <row r="121" spans="1:26" ht="25.5">
      <c r="A121" s="37"/>
      <c r="B121" s="122" t="s">
        <v>213</v>
      </c>
      <c r="C121" s="38" t="s">
        <v>33</v>
      </c>
      <c r="D121" s="39"/>
      <c r="E121" s="39"/>
      <c r="F121" s="49"/>
      <c r="G121" s="49"/>
      <c r="H121" s="49">
        <f t="shared" ref="H121:I154" si="17">D121*F121</f>
        <v>0</v>
      </c>
      <c r="I121" s="49">
        <f t="shared" si="17"/>
        <v>0</v>
      </c>
      <c r="J121" s="49"/>
      <c r="K121" s="39">
        <f t="shared" ref="K121:K185" si="18">D121+E121</f>
        <v>0</v>
      </c>
      <c r="L121" s="39">
        <f t="shared" ref="L121:L185" si="19">F121+G121</f>
        <v>0</v>
      </c>
      <c r="M121" s="141"/>
      <c r="N121" s="38">
        <v>500002847</v>
      </c>
      <c r="O121" s="127" t="s">
        <v>214</v>
      </c>
      <c r="P121" s="58" t="s">
        <v>21</v>
      </c>
      <c r="Q121" s="132" t="s">
        <v>215</v>
      </c>
      <c r="R121" s="97"/>
    </row>
    <row r="122" spans="1:26" ht="25.5">
      <c r="A122" s="37"/>
      <c r="B122" s="122" t="s">
        <v>216</v>
      </c>
      <c r="C122" s="38" t="s">
        <v>33</v>
      </c>
      <c r="D122" s="39"/>
      <c r="E122" s="39"/>
      <c r="F122" s="49"/>
      <c r="G122" s="49"/>
      <c r="H122" s="49">
        <f t="shared" si="17"/>
        <v>0</v>
      </c>
      <c r="I122" s="49">
        <f t="shared" si="17"/>
        <v>0</v>
      </c>
      <c r="J122" s="49"/>
      <c r="K122" s="39">
        <f t="shared" si="18"/>
        <v>0</v>
      </c>
      <c r="L122" s="39">
        <f t="shared" si="19"/>
        <v>0</v>
      </c>
      <c r="M122" s="141"/>
      <c r="N122" s="38">
        <v>500002848</v>
      </c>
      <c r="O122" s="127" t="s">
        <v>217</v>
      </c>
      <c r="P122" s="58" t="s">
        <v>21</v>
      </c>
      <c r="Q122" s="132" t="s">
        <v>215</v>
      </c>
      <c r="R122" s="97"/>
    </row>
    <row r="123" spans="1:26" ht="25.5">
      <c r="A123" s="37"/>
      <c r="B123" s="122" t="s">
        <v>218</v>
      </c>
      <c r="C123" s="38" t="s">
        <v>33</v>
      </c>
      <c r="D123" s="39"/>
      <c r="E123" s="39"/>
      <c r="F123" s="49"/>
      <c r="G123" s="49"/>
      <c r="H123" s="49">
        <f t="shared" si="17"/>
        <v>0</v>
      </c>
      <c r="I123" s="49">
        <f t="shared" si="17"/>
        <v>0</v>
      </c>
      <c r="J123" s="49"/>
      <c r="K123" s="39">
        <f t="shared" si="18"/>
        <v>0</v>
      </c>
      <c r="L123" s="39">
        <f t="shared" si="19"/>
        <v>0</v>
      </c>
      <c r="M123" s="141"/>
      <c r="N123" s="38">
        <v>500002849</v>
      </c>
      <c r="O123" s="127" t="s">
        <v>219</v>
      </c>
      <c r="P123" s="58" t="s">
        <v>21</v>
      </c>
      <c r="Q123" s="132" t="s">
        <v>215</v>
      </c>
      <c r="R123" s="97"/>
    </row>
    <row r="124" spans="1:26" ht="25.5">
      <c r="A124" s="37"/>
      <c r="B124" s="122" t="s">
        <v>220</v>
      </c>
      <c r="C124" s="38" t="s">
        <v>33</v>
      </c>
      <c r="D124" s="39"/>
      <c r="E124" s="39"/>
      <c r="F124" s="49"/>
      <c r="G124" s="49"/>
      <c r="H124" s="49">
        <f t="shared" si="17"/>
        <v>0</v>
      </c>
      <c r="I124" s="49">
        <f t="shared" si="17"/>
        <v>0</v>
      </c>
      <c r="J124" s="49"/>
      <c r="K124" s="39">
        <f t="shared" si="18"/>
        <v>0</v>
      </c>
      <c r="L124" s="39">
        <f t="shared" si="19"/>
        <v>0</v>
      </c>
      <c r="M124" s="141"/>
      <c r="N124" s="38">
        <v>500003030</v>
      </c>
      <c r="O124" s="127" t="s">
        <v>221</v>
      </c>
      <c r="P124" s="58" t="s">
        <v>21</v>
      </c>
      <c r="Q124" s="132" t="s">
        <v>215</v>
      </c>
      <c r="R124" s="97"/>
      <c r="S124" s="11"/>
      <c r="T124" s="11"/>
      <c r="U124" s="11"/>
      <c r="V124" s="11"/>
      <c r="W124" s="11"/>
      <c r="X124" s="11"/>
      <c r="Y124" s="11"/>
      <c r="Z124" s="11"/>
    </row>
    <row r="125" spans="1:26">
      <c r="A125" s="37"/>
      <c r="B125" s="122" t="s">
        <v>222</v>
      </c>
      <c r="C125" s="38" t="s">
        <v>33</v>
      </c>
      <c r="D125" s="39"/>
      <c r="E125" s="39"/>
      <c r="F125" s="49"/>
      <c r="G125" s="49"/>
      <c r="H125" s="49">
        <f t="shared" si="17"/>
        <v>0</v>
      </c>
      <c r="I125" s="49">
        <f t="shared" si="17"/>
        <v>0</v>
      </c>
      <c r="J125" s="49"/>
      <c r="K125" s="39">
        <f t="shared" si="18"/>
        <v>0</v>
      </c>
      <c r="L125" s="39">
        <f t="shared" si="19"/>
        <v>0</v>
      </c>
      <c r="M125" s="141"/>
      <c r="N125" s="38">
        <v>500003031</v>
      </c>
      <c r="O125" s="127" t="s">
        <v>223</v>
      </c>
      <c r="P125" s="58" t="s">
        <v>21</v>
      </c>
      <c r="Q125" s="132" t="s">
        <v>215</v>
      </c>
      <c r="R125" s="97"/>
      <c r="S125" s="11"/>
      <c r="T125" s="11"/>
      <c r="U125" s="11"/>
      <c r="V125" s="11"/>
      <c r="W125" s="11"/>
      <c r="X125" s="11"/>
      <c r="Y125" s="11"/>
      <c r="Z125" s="11"/>
    </row>
    <row r="126" spans="1:26">
      <c r="A126" s="37"/>
      <c r="B126" s="122" t="s">
        <v>224</v>
      </c>
      <c r="C126" s="38" t="s">
        <v>33</v>
      </c>
      <c r="D126" s="39"/>
      <c r="E126" s="39"/>
      <c r="F126" s="49"/>
      <c r="G126" s="49"/>
      <c r="H126" s="49">
        <f t="shared" si="17"/>
        <v>0</v>
      </c>
      <c r="I126" s="49">
        <f t="shared" si="17"/>
        <v>0</v>
      </c>
      <c r="J126" s="49"/>
      <c r="K126" s="39">
        <f t="shared" si="18"/>
        <v>0</v>
      </c>
      <c r="L126" s="39">
        <f t="shared" si="19"/>
        <v>0</v>
      </c>
      <c r="M126" s="141"/>
      <c r="N126" s="38">
        <v>500003032</v>
      </c>
      <c r="O126" s="127" t="s">
        <v>225</v>
      </c>
      <c r="P126" s="58" t="s">
        <v>21</v>
      </c>
      <c r="Q126" s="132" t="s">
        <v>215</v>
      </c>
      <c r="R126" s="97"/>
      <c r="S126" s="11"/>
      <c r="T126" s="11"/>
      <c r="U126" s="11"/>
      <c r="V126" s="11"/>
      <c r="W126" s="11"/>
      <c r="X126" s="11"/>
      <c r="Y126" s="11"/>
      <c r="Z126" s="11"/>
    </row>
    <row r="127" spans="1:26">
      <c r="A127" s="37"/>
      <c r="B127" s="122" t="s">
        <v>226</v>
      </c>
      <c r="C127" s="38" t="s">
        <v>33</v>
      </c>
      <c r="D127" s="39"/>
      <c r="E127" s="39"/>
      <c r="F127" s="49"/>
      <c r="G127" s="49"/>
      <c r="H127" s="49">
        <f t="shared" si="17"/>
        <v>0</v>
      </c>
      <c r="I127" s="49">
        <f t="shared" si="17"/>
        <v>0</v>
      </c>
      <c r="J127" s="49"/>
      <c r="K127" s="39">
        <f t="shared" si="18"/>
        <v>0</v>
      </c>
      <c r="L127" s="39">
        <f t="shared" si="19"/>
        <v>0</v>
      </c>
      <c r="M127" s="141"/>
      <c r="N127" s="38">
        <v>500003033</v>
      </c>
      <c r="O127" s="127" t="s">
        <v>227</v>
      </c>
      <c r="P127" s="58" t="s">
        <v>21</v>
      </c>
      <c r="Q127" s="132" t="s">
        <v>215</v>
      </c>
      <c r="R127" s="97"/>
      <c r="S127" s="11"/>
      <c r="T127" s="11"/>
      <c r="U127" s="11"/>
      <c r="V127" s="11"/>
      <c r="W127" s="11"/>
      <c r="X127" s="11"/>
      <c r="Y127" s="11"/>
      <c r="Z127" s="11"/>
    </row>
    <row r="128" spans="1:26">
      <c r="A128" s="37"/>
      <c r="B128" s="122" t="s">
        <v>228</v>
      </c>
      <c r="C128" s="38" t="s">
        <v>33</v>
      </c>
      <c r="D128" s="39"/>
      <c r="E128" s="39"/>
      <c r="F128" s="49"/>
      <c r="G128" s="49"/>
      <c r="H128" s="49">
        <f t="shared" si="17"/>
        <v>0</v>
      </c>
      <c r="I128" s="49">
        <f t="shared" si="17"/>
        <v>0</v>
      </c>
      <c r="J128" s="49"/>
      <c r="K128" s="39">
        <f t="shared" si="18"/>
        <v>0</v>
      </c>
      <c r="L128" s="39">
        <f t="shared" si="19"/>
        <v>0</v>
      </c>
      <c r="M128" s="141"/>
      <c r="N128" s="38">
        <v>500003034</v>
      </c>
      <c r="O128" s="127" t="s">
        <v>229</v>
      </c>
      <c r="P128" s="58" t="s">
        <v>21</v>
      </c>
      <c r="Q128" s="132" t="s">
        <v>215</v>
      </c>
      <c r="R128" s="97"/>
      <c r="S128" s="11"/>
      <c r="T128" s="11"/>
      <c r="U128" s="11"/>
      <c r="V128" s="11"/>
      <c r="W128" s="11"/>
      <c r="X128" s="11"/>
      <c r="Y128" s="11"/>
      <c r="Z128" s="11"/>
    </row>
    <row r="129" spans="1:26" ht="15">
      <c r="A129" s="37"/>
      <c r="B129" s="122" t="s">
        <v>230</v>
      </c>
      <c r="C129" s="38" t="s">
        <v>741</v>
      </c>
      <c r="D129" s="39"/>
      <c r="E129" s="39"/>
      <c r="F129" s="49"/>
      <c r="G129" s="49"/>
      <c r="H129" s="49">
        <f t="shared" si="17"/>
        <v>0</v>
      </c>
      <c r="I129" s="49">
        <f t="shared" si="17"/>
        <v>0</v>
      </c>
      <c r="J129" s="49"/>
      <c r="K129" s="39">
        <f t="shared" si="18"/>
        <v>0</v>
      </c>
      <c r="L129" s="39">
        <f t="shared" si="19"/>
        <v>0</v>
      </c>
      <c r="M129" s="141"/>
      <c r="N129" s="38">
        <v>500003035</v>
      </c>
      <c r="O129" s="127" t="s">
        <v>231</v>
      </c>
      <c r="P129" s="58" t="s">
        <v>21</v>
      </c>
      <c r="Q129" s="132" t="s">
        <v>215</v>
      </c>
      <c r="R129" s="97"/>
      <c r="S129" s="11"/>
      <c r="T129" s="11"/>
      <c r="U129" s="11"/>
      <c r="V129" s="11"/>
      <c r="W129" s="11"/>
      <c r="X129" s="11"/>
      <c r="Y129" s="11"/>
      <c r="Z129" s="11"/>
    </row>
    <row r="130" spans="1:26" ht="25.5">
      <c r="A130" s="37"/>
      <c r="B130" s="122" t="s">
        <v>232</v>
      </c>
      <c r="C130" s="38" t="s">
        <v>33</v>
      </c>
      <c r="D130" s="39"/>
      <c r="E130" s="39"/>
      <c r="F130" s="49"/>
      <c r="G130" s="49"/>
      <c r="H130" s="49">
        <f t="shared" si="17"/>
        <v>0</v>
      </c>
      <c r="I130" s="49">
        <f t="shared" si="17"/>
        <v>0</v>
      </c>
      <c r="J130" s="49"/>
      <c r="K130" s="39">
        <f t="shared" si="18"/>
        <v>0</v>
      </c>
      <c r="L130" s="39">
        <f t="shared" si="19"/>
        <v>0</v>
      </c>
      <c r="M130" s="141"/>
      <c r="N130" s="38">
        <v>500003036</v>
      </c>
      <c r="O130" s="127" t="s">
        <v>233</v>
      </c>
      <c r="P130" s="58" t="s">
        <v>21</v>
      </c>
      <c r="Q130" s="132" t="s">
        <v>215</v>
      </c>
      <c r="R130" s="97"/>
      <c r="S130" s="11"/>
      <c r="T130" s="11"/>
      <c r="U130" s="11"/>
      <c r="V130" s="11"/>
      <c r="W130" s="11"/>
      <c r="X130" s="11"/>
      <c r="Y130" s="11"/>
      <c r="Z130" s="11"/>
    </row>
    <row r="131" spans="1:26" ht="38.25">
      <c r="A131" s="37"/>
      <c r="B131" s="122" t="s">
        <v>234</v>
      </c>
      <c r="C131" s="38" t="s">
        <v>33</v>
      </c>
      <c r="D131" s="39"/>
      <c r="E131" s="39"/>
      <c r="F131" s="49"/>
      <c r="G131" s="49"/>
      <c r="H131" s="49">
        <f t="shared" si="17"/>
        <v>0</v>
      </c>
      <c r="I131" s="49">
        <f t="shared" si="17"/>
        <v>0</v>
      </c>
      <c r="J131" s="49"/>
      <c r="K131" s="39">
        <f t="shared" si="18"/>
        <v>0</v>
      </c>
      <c r="L131" s="39">
        <f t="shared" si="19"/>
        <v>0</v>
      </c>
      <c r="M131" s="141"/>
      <c r="N131" s="38">
        <v>500003037</v>
      </c>
      <c r="O131" s="127" t="s">
        <v>235</v>
      </c>
      <c r="P131" s="58" t="s">
        <v>21</v>
      </c>
      <c r="Q131" s="132" t="s">
        <v>215</v>
      </c>
      <c r="R131" s="97"/>
      <c r="S131" s="11"/>
      <c r="T131" s="11"/>
      <c r="U131" s="11"/>
      <c r="V131" s="11"/>
      <c r="W131" s="11"/>
      <c r="X131" s="11"/>
      <c r="Y131" s="11"/>
      <c r="Z131" s="11"/>
    </row>
    <row r="132" spans="1:26">
      <c r="A132" s="37"/>
      <c r="B132" s="57" t="s">
        <v>236</v>
      </c>
      <c r="C132" s="38" t="s">
        <v>148</v>
      </c>
      <c r="D132" s="39"/>
      <c r="E132" s="39"/>
      <c r="F132" s="49"/>
      <c r="G132" s="49"/>
      <c r="H132" s="49">
        <f t="shared" si="17"/>
        <v>0</v>
      </c>
      <c r="I132" s="49">
        <f t="shared" si="17"/>
        <v>0</v>
      </c>
      <c r="J132" s="49"/>
      <c r="K132" s="39">
        <f t="shared" si="18"/>
        <v>0</v>
      </c>
      <c r="L132" s="39">
        <f t="shared" si="19"/>
        <v>0</v>
      </c>
      <c r="M132" s="141"/>
      <c r="N132" s="38">
        <v>500003038</v>
      </c>
      <c r="O132" s="127" t="s">
        <v>237</v>
      </c>
      <c r="P132" s="58" t="s">
        <v>21</v>
      </c>
      <c r="Q132" s="132" t="s">
        <v>215</v>
      </c>
      <c r="R132" s="97"/>
      <c r="S132" s="11"/>
      <c r="T132" s="11"/>
      <c r="U132" s="11"/>
      <c r="V132" s="11"/>
      <c r="W132" s="11"/>
      <c r="X132" s="11"/>
      <c r="Y132" s="11"/>
      <c r="Z132" s="11"/>
    </row>
    <row r="133" spans="1:26">
      <c r="A133" s="37" t="s">
        <v>89</v>
      </c>
      <c r="B133" s="57" t="s">
        <v>238</v>
      </c>
      <c r="C133" s="38"/>
      <c r="D133" s="39"/>
      <c r="E133" s="39"/>
      <c r="F133" s="49"/>
      <c r="G133" s="49"/>
      <c r="H133" s="49">
        <f t="shared" si="17"/>
        <v>0</v>
      </c>
      <c r="I133" s="49">
        <f t="shared" si="17"/>
        <v>0</v>
      </c>
      <c r="J133" s="49"/>
      <c r="K133" s="39">
        <f t="shared" si="18"/>
        <v>0</v>
      </c>
      <c r="L133" s="79">
        <f t="shared" si="19"/>
        <v>0</v>
      </c>
      <c r="M133" s="141"/>
      <c r="N133" s="64"/>
      <c r="O133" s="64"/>
      <c r="P133" s="141"/>
      <c r="Q133" s="104"/>
      <c r="R133" s="97"/>
      <c r="S133" s="11"/>
      <c r="T133" s="11"/>
      <c r="U133" s="11"/>
      <c r="V133" s="11"/>
      <c r="W133" s="11"/>
      <c r="X133" s="11"/>
      <c r="Y133" s="11"/>
      <c r="Z133" s="11"/>
    </row>
    <row r="134" spans="1:26">
      <c r="A134" s="37"/>
      <c r="B134" s="57" t="s">
        <v>239</v>
      </c>
      <c r="C134" s="38" t="s">
        <v>33</v>
      </c>
      <c r="D134" s="277">
        <f>--(IF(T$5="TURNKEY",E135))</f>
        <v>0</v>
      </c>
      <c r="E134" s="39"/>
      <c r="F134" s="49"/>
      <c r="G134" s="49"/>
      <c r="H134" s="49">
        <f t="shared" si="17"/>
        <v>0</v>
      </c>
      <c r="I134" s="49">
        <f t="shared" si="17"/>
        <v>0</v>
      </c>
      <c r="J134" s="49"/>
      <c r="K134" s="39">
        <f t="shared" si="18"/>
        <v>0</v>
      </c>
      <c r="L134" s="79">
        <f t="shared" si="19"/>
        <v>0</v>
      </c>
      <c r="M134" s="141"/>
      <c r="N134" s="89">
        <v>200001017</v>
      </c>
      <c r="O134" s="127" t="s">
        <v>240</v>
      </c>
      <c r="P134" s="58" t="s">
        <v>24</v>
      </c>
      <c r="Q134" s="104"/>
      <c r="R134" s="97"/>
      <c r="S134" s="11"/>
      <c r="T134" s="11"/>
      <c r="U134" s="11"/>
      <c r="V134" s="11"/>
      <c r="W134" s="11"/>
      <c r="X134" s="11"/>
      <c r="Y134" s="11"/>
      <c r="Z134" s="11"/>
    </row>
    <row r="135" spans="1:26">
      <c r="A135" s="37"/>
      <c r="B135" s="57" t="s">
        <v>241</v>
      </c>
      <c r="C135" s="38" t="s">
        <v>33</v>
      </c>
      <c r="D135" s="39"/>
      <c r="E135" s="277">
        <f>SUM('BoM CLUSTER UG'!C110:L110)</f>
        <v>0</v>
      </c>
      <c r="F135" s="49"/>
      <c r="G135" s="49"/>
      <c r="H135" s="49">
        <f t="shared" si="17"/>
        <v>0</v>
      </c>
      <c r="I135" s="49">
        <f t="shared" si="17"/>
        <v>0</v>
      </c>
      <c r="J135" s="49"/>
      <c r="K135" s="39">
        <f t="shared" si="18"/>
        <v>0</v>
      </c>
      <c r="L135" s="79">
        <f t="shared" si="19"/>
        <v>0</v>
      </c>
      <c r="M135" s="128">
        <v>500002144</v>
      </c>
      <c r="N135" s="128">
        <v>500002144</v>
      </c>
      <c r="O135" s="127" t="s">
        <v>242</v>
      </c>
      <c r="P135" s="58" t="s">
        <v>21</v>
      </c>
      <c r="Q135" s="104"/>
      <c r="R135" s="97"/>
      <c r="S135" s="11"/>
      <c r="T135" s="11"/>
      <c r="U135" s="11"/>
      <c r="V135" s="11"/>
      <c r="W135" s="11"/>
      <c r="X135" s="11"/>
      <c r="Y135" s="11"/>
      <c r="Z135" s="11"/>
    </row>
    <row r="136" spans="1:26">
      <c r="A136" s="37"/>
      <c r="B136" s="57" t="s">
        <v>243</v>
      </c>
      <c r="C136" s="38" t="s">
        <v>148</v>
      </c>
      <c r="D136" s="277">
        <f>E137</f>
        <v>0</v>
      </c>
      <c r="E136" s="39"/>
      <c r="F136" s="49"/>
      <c r="G136" s="49"/>
      <c r="H136" s="49">
        <f t="shared" si="17"/>
        <v>0</v>
      </c>
      <c r="I136" s="49">
        <f t="shared" si="17"/>
        <v>0</v>
      </c>
      <c r="J136" s="49"/>
      <c r="K136" s="39">
        <f t="shared" si="18"/>
        <v>0</v>
      </c>
      <c r="L136" s="79">
        <f t="shared" si="19"/>
        <v>0</v>
      </c>
      <c r="M136" s="141"/>
      <c r="N136" s="89">
        <v>200000994</v>
      </c>
      <c r="O136" s="90" t="s">
        <v>244</v>
      </c>
      <c r="P136" s="58" t="s">
        <v>24</v>
      </c>
      <c r="Q136" s="104"/>
      <c r="R136" s="97"/>
      <c r="S136" s="11"/>
      <c r="T136" s="11"/>
      <c r="U136" s="11"/>
      <c r="V136" s="11"/>
      <c r="W136" s="11"/>
      <c r="X136" s="11"/>
      <c r="Y136" s="11"/>
      <c r="Z136" s="11"/>
    </row>
    <row r="137" spans="1:26">
      <c r="A137" s="37"/>
      <c r="B137" s="57" t="s">
        <v>245</v>
      </c>
      <c r="C137" s="38" t="s">
        <v>148</v>
      </c>
      <c r="D137" s="39"/>
      <c r="E137" s="277">
        <f>SUM('BoM CLUSTER UG'!C112:L112)</f>
        <v>0</v>
      </c>
      <c r="F137" s="49"/>
      <c r="G137" s="49"/>
      <c r="H137" s="49">
        <f t="shared" si="17"/>
        <v>0</v>
      </c>
      <c r="I137" s="49">
        <f t="shared" si="17"/>
        <v>0</v>
      </c>
      <c r="J137" s="49"/>
      <c r="K137" s="39">
        <f t="shared" si="18"/>
        <v>0</v>
      </c>
      <c r="L137" s="79">
        <f t="shared" si="19"/>
        <v>0</v>
      </c>
      <c r="M137" s="128">
        <v>500002145</v>
      </c>
      <c r="N137" s="128">
        <v>500002145</v>
      </c>
      <c r="O137" s="127" t="s">
        <v>242</v>
      </c>
      <c r="P137" s="58" t="s">
        <v>21</v>
      </c>
      <c r="Q137" s="104"/>
      <c r="R137" s="97"/>
      <c r="S137" s="11"/>
      <c r="T137" s="11"/>
      <c r="U137" s="11"/>
      <c r="V137" s="11"/>
      <c r="W137" s="11"/>
      <c r="X137" s="11"/>
      <c r="Y137" s="11"/>
      <c r="Z137" s="11"/>
    </row>
    <row r="138" spans="1:26">
      <c r="A138" s="37"/>
      <c r="B138" s="57" t="s">
        <v>246</v>
      </c>
      <c r="C138" s="38" t="s">
        <v>33</v>
      </c>
      <c r="D138" s="277">
        <f>--(IF(T$5="TURNKEY",E139))</f>
        <v>0</v>
      </c>
      <c r="E138" s="39"/>
      <c r="F138" s="49"/>
      <c r="G138" s="49"/>
      <c r="H138" s="49">
        <f t="shared" si="17"/>
        <v>0</v>
      </c>
      <c r="I138" s="49">
        <f t="shared" si="17"/>
        <v>0</v>
      </c>
      <c r="J138" s="49"/>
      <c r="K138" s="39">
        <f t="shared" si="18"/>
        <v>0</v>
      </c>
      <c r="L138" s="79">
        <f t="shared" si="19"/>
        <v>0</v>
      </c>
      <c r="M138" s="128"/>
      <c r="N138" s="64">
        <v>200000510</v>
      </c>
      <c r="O138" s="127" t="s">
        <v>247</v>
      </c>
      <c r="P138" s="58" t="s">
        <v>24</v>
      </c>
      <c r="Q138" s="104"/>
      <c r="R138" s="97"/>
      <c r="S138" s="11"/>
      <c r="T138" s="11"/>
      <c r="U138" s="11"/>
      <c r="V138" s="11"/>
      <c r="W138" s="11"/>
      <c r="X138" s="11"/>
      <c r="Y138" s="11"/>
      <c r="Z138" s="11"/>
    </row>
    <row r="139" spans="1:26">
      <c r="A139" s="37"/>
      <c r="B139" s="57" t="s">
        <v>248</v>
      </c>
      <c r="C139" s="38" t="s">
        <v>33</v>
      </c>
      <c r="D139" s="39"/>
      <c r="E139" s="277">
        <f>SUM('BoM CLUSTER UG'!C111:L111)</f>
        <v>0</v>
      </c>
      <c r="F139" s="49"/>
      <c r="G139" s="49"/>
      <c r="H139" s="49">
        <f t="shared" si="17"/>
        <v>0</v>
      </c>
      <c r="I139" s="49">
        <f t="shared" si="17"/>
        <v>0</v>
      </c>
      <c r="J139" s="49"/>
      <c r="K139" s="39">
        <f t="shared" si="18"/>
        <v>0</v>
      </c>
      <c r="L139" s="79">
        <f t="shared" si="19"/>
        <v>0</v>
      </c>
      <c r="M139" s="128">
        <v>500002146</v>
      </c>
      <c r="N139" s="128">
        <v>500002146</v>
      </c>
      <c r="O139" s="127" t="s">
        <v>242</v>
      </c>
      <c r="P139" s="58" t="s">
        <v>21</v>
      </c>
      <c r="Q139" s="104"/>
      <c r="R139" s="97"/>
      <c r="S139" s="11"/>
      <c r="T139" s="11"/>
      <c r="U139" s="11"/>
      <c r="V139" s="11"/>
      <c r="W139" s="11"/>
      <c r="X139" s="11"/>
      <c r="Y139" s="11"/>
      <c r="Z139" s="11"/>
    </row>
    <row r="140" spans="1:26">
      <c r="A140" s="37"/>
      <c r="B140" s="57" t="s">
        <v>249</v>
      </c>
      <c r="C140" s="38" t="s">
        <v>148</v>
      </c>
      <c r="D140" s="277">
        <f>E141</f>
        <v>0</v>
      </c>
      <c r="E140" s="39"/>
      <c r="F140" s="49"/>
      <c r="G140" s="49"/>
      <c r="H140" s="49">
        <f t="shared" si="17"/>
        <v>0</v>
      </c>
      <c r="I140" s="49">
        <f t="shared" si="17"/>
        <v>0</v>
      </c>
      <c r="J140" s="49"/>
      <c r="K140" s="39">
        <f t="shared" si="18"/>
        <v>0</v>
      </c>
      <c r="L140" s="79">
        <f t="shared" si="19"/>
        <v>0</v>
      </c>
      <c r="M140" s="141"/>
      <c r="N140" s="89">
        <v>200000282</v>
      </c>
      <c r="O140" s="62" t="s">
        <v>250</v>
      </c>
      <c r="P140" s="141"/>
      <c r="Q140" s="104"/>
      <c r="R140" s="97"/>
      <c r="S140" s="11"/>
      <c r="T140" s="11"/>
      <c r="U140" s="11"/>
      <c r="V140" s="11"/>
      <c r="W140" s="11"/>
      <c r="X140" s="11"/>
      <c r="Y140" s="11"/>
      <c r="Z140" s="11"/>
    </row>
    <row r="141" spans="1:26">
      <c r="A141" s="37"/>
      <c r="B141" s="57" t="s">
        <v>251</v>
      </c>
      <c r="C141" s="38" t="s">
        <v>148</v>
      </c>
      <c r="D141" s="39"/>
      <c r="E141" s="277">
        <f>SUM('BoM CLUSTER UG'!C113:L113)</f>
        <v>0</v>
      </c>
      <c r="F141" s="49"/>
      <c r="G141" s="49"/>
      <c r="H141" s="49">
        <f t="shared" si="17"/>
        <v>0</v>
      </c>
      <c r="I141" s="49">
        <f t="shared" si="17"/>
        <v>0</v>
      </c>
      <c r="J141" s="49"/>
      <c r="K141" s="39">
        <f t="shared" si="18"/>
        <v>0</v>
      </c>
      <c r="L141" s="79">
        <f t="shared" si="19"/>
        <v>0</v>
      </c>
      <c r="M141" s="128">
        <v>500002147</v>
      </c>
      <c r="N141" s="128">
        <v>500002147</v>
      </c>
      <c r="O141" s="127" t="s">
        <v>242</v>
      </c>
      <c r="P141" s="58" t="s">
        <v>21</v>
      </c>
      <c r="Q141" s="104"/>
      <c r="R141" s="97"/>
      <c r="S141" s="11"/>
      <c r="T141" s="11"/>
      <c r="U141" s="11"/>
      <c r="V141" s="11"/>
      <c r="W141" s="11"/>
      <c r="X141" s="11"/>
      <c r="Y141" s="11"/>
      <c r="Z141" s="11"/>
    </row>
    <row r="142" spans="1:26">
      <c r="A142" s="37" t="s">
        <v>96</v>
      </c>
      <c r="B142" s="57" t="s">
        <v>252</v>
      </c>
      <c r="C142" s="38"/>
      <c r="D142" s="39"/>
      <c r="E142" s="39"/>
      <c r="F142" s="49"/>
      <c r="G142" s="49"/>
      <c r="H142" s="49">
        <f t="shared" si="17"/>
        <v>0</v>
      </c>
      <c r="I142" s="49">
        <f t="shared" si="17"/>
        <v>0</v>
      </c>
      <c r="J142" s="49"/>
      <c r="K142" s="39">
        <f t="shared" si="18"/>
        <v>0</v>
      </c>
      <c r="L142" s="79">
        <f t="shared" si="19"/>
        <v>0</v>
      </c>
      <c r="M142" s="141"/>
      <c r="N142" s="64"/>
      <c r="O142" s="64"/>
      <c r="P142" s="141"/>
      <c r="Q142" s="104"/>
      <c r="R142" s="97"/>
      <c r="S142" s="11"/>
      <c r="T142" s="11"/>
      <c r="U142" s="11"/>
      <c r="V142" s="11"/>
      <c r="W142" s="11"/>
      <c r="X142" s="11"/>
      <c r="Y142" s="11"/>
      <c r="Z142" s="11"/>
    </row>
    <row r="143" spans="1:26">
      <c r="A143" s="37"/>
      <c r="B143" s="120" t="s">
        <v>253</v>
      </c>
      <c r="C143" s="38" t="s">
        <v>33</v>
      </c>
      <c r="D143" s="39"/>
      <c r="E143" s="39"/>
      <c r="F143" s="49"/>
      <c r="G143" s="49"/>
      <c r="H143" s="49">
        <f t="shared" si="17"/>
        <v>0</v>
      </c>
      <c r="I143" s="49">
        <f t="shared" si="17"/>
        <v>0</v>
      </c>
      <c r="J143" s="49"/>
      <c r="K143" s="39">
        <f t="shared" si="18"/>
        <v>0</v>
      </c>
      <c r="L143" s="79">
        <f t="shared" si="19"/>
        <v>0</v>
      </c>
      <c r="M143" s="141"/>
      <c r="N143" s="89">
        <v>200000600</v>
      </c>
      <c r="O143" s="129" t="s">
        <v>254</v>
      </c>
      <c r="P143" s="58" t="s">
        <v>24</v>
      </c>
      <c r="Q143" s="104"/>
      <c r="R143" s="97"/>
      <c r="S143" s="11"/>
      <c r="T143" s="11"/>
      <c r="U143" s="11"/>
      <c r="V143" s="11"/>
      <c r="W143" s="11"/>
      <c r="X143" s="11"/>
      <c r="Y143" s="11"/>
      <c r="Z143" s="11"/>
    </row>
    <row r="144" spans="1:26">
      <c r="A144" s="37"/>
      <c r="B144" s="120" t="s">
        <v>255</v>
      </c>
      <c r="C144" s="38" t="s">
        <v>33</v>
      </c>
      <c r="D144" s="39"/>
      <c r="E144" s="39"/>
      <c r="F144" s="49"/>
      <c r="G144" s="49"/>
      <c r="H144" s="49">
        <f t="shared" si="17"/>
        <v>0</v>
      </c>
      <c r="I144" s="49">
        <f t="shared" si="17"/>
        <v>0</v>
      </c>
      <c r="J144" s="49"/>
      <c r="K144" s="39">
        <f t="shared" si="18"/>
        <v>0</v>
      </c>
      <c r="L144" s="79">
        <f t="shared" si="19"/>
        <v>0</v>
      </c>
      <c r="M144" s="128">
        <v>200001054</v>
      </c>
      <c r="N144" s="128">
        <v>200001054</v>
      </c>
      <c r="O144" s="127" t="s">
        <v>256</v>
      </c>
      <c r="P144" s="58" t="s">
        <v>24</v>
      </c>
      <c r="Q144" s="104"/>
      <c r="R144" s="97"/>
      <c r="S144" s="11"/>
      <c r="T144" s="11"/>
      <c r="U144" s="11"/>
      <c r="V144" s="11"/>
      <c r="W144" s="11"/>
      <c r="X144" s="11"/>
      <c r="Y144" s="11"/>
      <c r="Z144" s="11"/>
    </row>
    <row r="145" spans="1:26">
      <c r="A145" s="37"/>
      <c r="B145" s="120" t="s">
        <v>257</v>
      </c>
      <c r="C145" s="38" t="s">
        <v>33</v>
      </c>
      <c r="D145" s="39"/>
      <c r="E145" s="39"/>
      <c r="F145" s="49"/>
      <c r="G145" s="49"/>
      <c r="H145" s="49">
        <f t="shared" si="17"/>
        <v>0</v>
      </c>
      <c r="I145" s="49">
        <f t="shared" si="17"/>
        <v>0</v>
      </c>
      <c r="J145" s="49"/>
      <c r="K145" s="39">
        <f t="shared" si="18"/>
        <v>0</v>
      </c>
      <c r="L145" s="79">
        <f t="shared" si="19"/>
        <v>0</v>
      </c>
      <c r="M145" s="141"/>
      <c r="N145" s="89">
        <v>200000292</v>
      </c>
      <c r="O145" s="127" t="s">
        <v>258</v>
      </c>
      <c r="P145" s="58" t="s">
        <v>24</v>
      </c>
      <c r="Q145" s="104"/>
      <c r="R145" s="97"/>
      <c r="S145" s="11"/>
      <c r="T145" s="11"/>
      <c r="U145" s="11"/>
      <c r="V145" s="11"/>
      <c r="W145" s="11"/>
      <c r="X145" s="11"/>
      <c r="Y145" s="11"/>
      <c r="Z145" s="11"/>
    </row>
    <row r="146" spans="1:26">
      <c r="A146" s="37"/>
      <c r="B146" s="120" t="s">
        <v>259</v>
      </c>
      <c r="C146" s="38" t="s">
        <v>33</v>
      </c>
      <c r="D146" s="39"/>
      <c r="E146" s="39"/>
      <c r="F146" s="49"/>
      <c r="G146" s="49"/>
      <c r="H146" s="49">
        <f t="shared" si="17"/>
        <v>0</v>
      </c>
      <c r="I146" s="49">
        <f t="shared" si="17"/>
        <v>0</v>
      </c>
      <c r="J146" s="49"/>
      <c r="K146" s="39">
        <f t="shared" si="18"/>
        <v>0</v>
      </c>
      <c r="L146" s="79">
        <f t="shared" si="19"/>
        <v>0</v>
      </c>
      <c r="M146" s="141"/>
      <c r="N146" s="89">
        <v>200000742</v>
      </c>
      <c r="O146" s="90" t="s">
        <v>260</v>
      </c>
      <c r="P146" s="58" t="s">
        <v>24</v>
      </c>
      <c r="Q146" s="104"/>
      <c r="R146" s="97"/>
      <c r="S146" s="11"/>
      <c r="T146" s="11"/>
      <c r="U146" s="11"/>
      <c r="V146" s="11"/>
      <c r="W146" s="11"/>
      <c r="X146" s="11"/>
      <c r="Y146" s="11"/>
      <c r="Z146" s="11"/>
    </row>
    <row r="147" spans="1:26">
      <c r="A147" s="37" t="s">
        <v>102</v>
      </c>
      <c r="B147" s="120" t="s">
        <v>261</v>
      </c>
      <c r="C147" s="38"/>
      <c r="D147" s="39"/>
      <c r="E147" s="39"/>
      <c r="F147" s="49"/>
      <c r="G147" s="49"/>
      <c r="H147" s="49">
        <f t="shared" si="17"/>
        <v>0</v>
      </c>
      <c r="I147" s="49">
        <f t="shared" si="17"/>
        <v>0</v>
      </c>
      <c r="J147" s="49"/>
      <c r="K147" s="39">
        <f t="shared" si="18"/>
        <v>0</v>
      </c>
      <c r="L147" s="79">
        <f t="shared" si="19"/>
        <v>0</v>
      </c>
      <c r="M147" s="141"/>
      <c r="N147" s="64"/>
      <c r="O147" s="64"/>
      <c r="P147" s="141"/>
      <c r="Q147" s="104"/>
      <c r="R147" s="97"/>
      <c r="S147" s="11"/>
      <c r="T147" s="11"/>
      <c r="U147" s="11"/>
      <c r="V147" s="11"/>
      <c r="W147" s="11"/>
      <c r="X147" s="11"/>
      <c r="Y147" s="11"/>
      <c r="Z147" s="11"/>
    </row>
    <row r="148" spans="1:26">
      <c r="A148" s="37"/>
      <c r="B148" s="122" t="s">
        <v>262</v>
      </c>
      <c r="C148" s="38" t="s">
        <v>33</v>
      </c>
      <c r="D148" s="39"/>
      <c r="E148" s="39"/>
      <c r="F148" s="49"/>
      <c r="G148" s="49"/>
      <c r="H148" s="49">
        <f t="shared" si="17"/>
        <v>0</v>
      </c>
      <c r="I148" s="49">
        <f t="shared" si="17"/>
        <v>0</v>
      </c>
      <c r="J148" s="49"/>
      <c r="K148" s="39">
        <f t="shared" si="18"/>
        <v>0</v>
      </c>
      <c r="L148" s="79">
        <f t="shared" si="19"/>
        <v>0</v>
      </c>
      <c r="M148" s="141"/>
      <c r="N148" s="64">
        <v>200001050</v>
      </c>
      <c r="O148" s="127" t="s">
        <v>263</v>
      </c>
      <c r="P148" s="58" t="s">
        <v>24</v>
      </c>
      <c r="Q148" s="104"/>
      <c r="R148" s="97"/>
      <c r="S148" s="11"/>
      <c r="T148" s="11"/>
      <c r="U148" s="11"/>
      <c r="V148" s="11"/>
      <c r="W148" s="11"/>
      <c r="X148" s="11"/>
      <c r="Y148" s="11"/>
      <c r="Z148" s="11"/>
    </row>
    <row r="149" spans="1:26">
      <c r="A149" s="37"/>
      <c r="B149" s="122" t="s">
        <v>264</v>
      </c>
      <c r="C149" s="38" t="s">
        <v>33</v>
      </c>
      <c r="D149" s="39"/>
      <c r="E149" s="39"/>
      <c r="F149" s="49"/>
      <c r="G149" s="49"/>
      <c r="H149" s="49">
        <f t="shared" si="17"/>
        <v>0</v>
      </c>
      <c r="I149" s="49">
        <f t="shared" si="17"/>
        <v>0</v>
      </c>
      <c r="J149" s="49"/>
      <c r="K149" s="39">
        <f t="shared" si="18"/>
        <v>0</v>
      </c>
      <c r="L149" s="79">
        <f t="shared" si="19"/>
        <v>0</v>
      </c>
      <c r="M149" s="141"/>
      <c r="N149" s="64">
        <v>200001051</v>
      </c>
      <c r="O149" s="127" t="s">
        <v>265</v>
      </c>
      <c r="P149" s="58" t="s">
        <v>24</v>
      </c>
      <c r="Q149" s="104"/>
      <c r="R149" s="97"/>
      <c r="S149" s="11"/>
      <c r="T149" s="11"/>
      <c r="U149" s="11"/>
      <c r="V149" s="11"/>
      <c r="W149" s="11"/>
      <c r="X149" s="11"/>
      <c r="Y149" s="11"/>
      <c r="Z149" s="11"/>
    </row>
    <row r="150" spans="1:26">
      <c r="A150" s="37"/>
      <c r="B150" s="122" t="s">
        <v>266</v>
      </c>
      <c r="C150" s="38" t="s">
        <v>33</v>
      </c>
      <c r="D150" s="39"/>
      <c r="E150" s="39"/>
      <c r="F150" s="49"/>
      <c r="G150" s="49"/>
      <c r="H150" s="49">
        <f t="shared" si="17"/>
        <v>0</v>
      </c>
      <c r="I150" s="49">
        <f t="shared" si="17"/>
        <v>0</v>
      </c>
      <c r="J150" s="49"/>
      <c r="K150" s="39">
        <f t="shared" si="18"/>
        <v>0</v>
      </c>
      <c r="L150" s="79">
        <f t="shared" si="19"/>
        <v>0</v>
      </c>
      <c r="M150" s="141"/>
      <c r="N150" s="64">
        <v>200001052</v>
      </c>
      <c r="O150" s="127" t="s">
        <v>267</v>
      </c>
      <c r="P150" s="58" t="s">
        <v>24</v>
      </c>
      <c r="Q150" s="104"/>
      <c r="R150" s="97"/>
      <c r="S150" s="11"/>
      <c r="T150" s="11"/>
      <c r="U150" s="11"/>
      <c r="V150" s="11"/>
      <c r="W150" s="11"/>
      <c r="X150" s="11"/>
      <c r="Y150" s="11"/>
      <c r="Z150" s="11"/>
    </row>
    <row r="151" spans="1:26">
      <c r="A151" s="37"/>
      <c r="B151" s="122" t="s">
        <v>268</v>
      </c>
      <c r="C151" s="38" t="s">
        <v>33</v>
      </c>
      <c r="D151" s="39"/>
      <c r="E151" s="39"/>
      <c r="F151" s="49"/>
      <c r="G151" s="49"/>
      <c r="H151" s="49">
        <f t="shared" si="17"/>
        <v>0</v>
      </c>
      <c r="I151" s="49">
        <f t="shared" si="17"/>
        <v>0</v>
      </c>
      <c r="J151" s="49"/>
      <c r="K151" s="39">
        <f t="shared" si="18"/>
        <v>0</v>
      </c>
      <c r="L151" s="79">
        <f t="shared" si="19"/>
        <v>0</v>
      </c>
      <c r="M151" s="141"/>
      <c r="N151" s="64">
        <v>200001053</v>
      </c>
      <c r="O151" s="127" t="s">
        <v>269</v>
      </c>
      <c r="P151" s="58" t="s">
        <v>24</v>
      </c>
      <c r="Q151" s="104"/>
      <c r="R151" s="97"/>
      <c r="S151" s="11"/>
      <c r="T151" s="11"/>
      <c r="U151" s="11"/>
      <c r="V151" s="11"/>
      <c r="W151" s="11"/>
      <c r="X151" s="11"/>
      <c r="Y151" s="11"/>
      <c r="Z151" s="11"/>
    </row>
    <row r="152" spans="1:26">
      <c r="A152" s="37" t="s">
        <v>110</v>
      </c>
      <c r="B152" s="120" t="s">
        <v>270</v>
      </c>
      <c r="C152" s="38"/>
      <c r="D152" s="39"/>
      <c r="E152" s="39"/>
      <c r="F152" s="49"/>
      <c r="G152" s="49"/>
      <c r="H152" s="49">
        <f t="shared" si="17"/>
        <v>0</v>
      </c>
      <c r="I152" s="49">
        <f t="shared" si="17"/>
        <v>0</v>
      </c>
      <c r="J152" s="49"/>
      <c r="K152" s="39">
        <f t="shared" si="18"/>
        <v>0</v>
      </c>
      <c r="L152" s="79">
        <f t="shared" si="19"/>
        <v>0</v>
      </c>
      <c r="M152" s="141"/>
      <c r="N152" s="64"/>
      <c r="O152" s="64"/>
      <c r="P152" s="141"/>
      <c r="Q152" s="104"/>
      <c r="R152" s="97"/>
      <c r="S152" s="11"/>
      <c r="T152" s="11"/>
      <c r="U152" s="11"/>
      <c r="V152" s="11"/>
      <c r="W152" s="11"/>
      <c r="X152" s="11"/>
      <c r="Y152" s="11"/>
      <c r="Z152" s="11"/>
    </row>
    <row r="153" spans="1:26">
      <c r="A153" s="37"/>
      <c r="B153" s="120" t="s">
        <v>271</v>
      </c>
      <c r="C153" s="38" t="s">
        <v>33</v>
      </c>
      <c r="D153" s="39"/>
      <c r="E153" s="39"/>
      <c r="F153" s="49"/>
      <c r="G153" s="49"/>
      <c r="H153" s="49">
        <f t="shared" si="17"/>
        <v>0</v>
      </c>
      <c r="I153" s="49">
        <f t="shared" si="17"/>
        <v>0</v>
      </c>
      <c r="J153" s="49"/>
      <c r="K153" s="39">
        <f t="shared" si="18"/>
        <v>0</v>
      </c>
      <c r="L153" s="79">
        <f t="shared" si="19"/>
        <v>0</v>
      </c>
      <c r="M153" s="141"/>
      <c r="N153" s="89">
        <v>200001022</v>
      </c>
      <c r="O153" s="90" t="s">
        <v>272</v>
      </c>
      <c r="P153" s="58" t="s">
        <v>24</v>
      </c>
      <c r="Q153" s="104"/>
      <c r="R153" s="97"/>
      <c r="S153" s="11"/>
      <c r="T153" s="11"/>
      <c r="U153" s="11"/>
      <c r="V153" s="11"/>
      <c r="W153" s="11"/>
      <c r="X153" s="11"/>
      <c r="Y153" s="11"/>
      <c r="Z153" s="11"/>
    </row>
    <row r="154" spans="1:26">
      <c r="A154" s="37"/>
      <c r="B154" s="120" t="s">
        <v>273</v>
      </c>
      <c r="C154" s="38" t="s">
        <v>33</v>
      </c>
      <c r="D154" s="39"/>
      <c r="E154" s="39"/>
      <c r="F154" s="49"/>
      <c r="G154" s="49"/>
      <c r="H154" s="49">
        <f t="shared" si="17"/>
        <v>0</v>
      </c>
      <c r="I154" s="49">
        <f t="shared" si="17"/>
        <v>0</v>
      </c>
      <c r="J154" s="49"/>
      <c r="K154" s="39">
        <f t="shared" si="18"/>
        <v>0</v>
      </c>
      <c r="L154" s="79">
        <f t="shared" si="19"/>
        <v>0</v>
      </c>
      <c r="M154" s="141"/>
      <c r="N154" s="89">
        <v>200001035</v>
      </c>
      <c r="O154" s="90" t="s">
        <v>274</v>
      </c>
      <c r="P154" s="58" t="s">
        <v>24</v>
      </c>
      <c r="Q154" s="104"/>
      <c r="R154" s="97"/>
      <c r="S154" s="11"/>
      <c r="T154" s="11"/>
      <c r="U154" s="11"/>
      <c r="V154" s="11"/>
      <c r="W154" s="11"/>
      <c r="X154" s="11"/>
      <c r="Y154" s="11"/>
      <c r="Z154" s="11"/>
    </row>
    <row r="155" spans="1:26">
      <c r="A155" s="37"/>
      <c r="B155" s="120" t="s">
        <v>275</v>
      </c>
      <c r="C155" s="38" t="s">
        <v>33</v>
      </c>
      <c r="D155" s="39"/>
      <c r="E155" s="39"/>
      <c r="F155" s="49"/>
      <c r="G155" s="49"/>
      <c r="H155" s="49">
        <f t="shared" ref="H155:I185" si="20">D155*F155</f>
        <v>0</v>
      </c>
      <c r="I155" s="49">
        <f t="shared" si="20"/>
        <v>0</v>
      </c>
      <c r="J155" s="49"/>
      <c r="K155" s="39">
        <f t="shared" si="18"/>
        <v>0</v>
      </c>
      <c r="L155" s="79">
        <f t="shared" si="19"/>
        <v>0</v>
      </c>
      <c r="M155" s="141"/>
      <c r="N155" s="89">
        <v>200001003</v>
      </c>
      <c r="O155" s="90" t="s">
        <v>276</v>
      </c>
      <c r="P155" s="58" t="s">
        <v>24</v>
      </c>
      <c r="Q155" s="104"/>
      <c r="R155" s="97"/>
      <c r="S155" s="11"/>
      <c r="T155" s="11"/>
      <c r="U155" s="11"/>
      <c r="V155" s="11"/>
      <c r="W155" s="11"/>
      <c r="X155" s="11"/>
      <c r="Y155" s="11"/>
      <c r="Z155" s="11"/>
    </row>
    <row r="156" spans="1:26">
      <c r="A156" s="37"/>
      <c r="B156" s="120" t="s">
        <v>277</v>
      </c>
      <c r="C156" s="38" t="s">
        <v>33</v>
      </c>
      <c r="D156" s="39"/>
      <c r="E156" s="39"/>
      <c r="F156" s="49"/>
      <c r="G156" s="49"/>
      <c r="H156" s="49">
        <f t="shared" si="20"/>
        <v>0</v>
      </c>
      <c r="I156" s="49">
        <f t="shared" si="20"/>
        <v>0</v>
      </c>
      <c r="J156" s="49"/>
      <c r="K156" s="39">
        <f t="shared" si="18"/>
        <v>0</v>
      </c>
      <c r="L156" s="79">
        <f t="shared" si="19"/>
        <v>0</v>
      </c>
      <c r="M156" s="141"/>
      <c r="N156" s="89">
        <v>200001023</v>
      </c>
      <c r="O156" s="90" t="s">
        <v>278</v>
      </c>
      <c r="P156" s="58" t="s">
        <v>24</v>
      </c>
      <c r="Q156" s="104"/>
      <c r="R156" s="97"/>
      <c r="S156" s="11"/>
      <c r="T156" s="11"/>
      <c r="U156" s="11"/>
      <c r="V156" s="11"/>
      <c r="W156" s="11"/>
      <c r="X156" s="11"/>
      <c r="Y156" s="11"/>
      <c r="Z156" s="11"/>
    </row>
    <row r="157" spans="1:26">
      <c r="A157" s="37"/>
      <c r="B157" s="120" t="s">
        <v>279</v>
      </c>
      <c r="C157" s="38" t="s">
        <v>33</v>
      </c>
      <c r="D157" s="39"/>
      <c r="E157" s="39"/>
      <c r="F157" s="49"/>
      <c r="G157" s="49"/>
      <c r="H157" s="49">
        <f t="shared" si="20"/>
        <v>0</v>
      </c>
      <c r="I157" s="49">
        <f t="shared" si="20"/>
        <v>0</v>
      </c>
      <c r="J157" s="49"/>
      <c r="K157" s="39">
        <f t="shared" si="18"/>
        <v>0</v>
      </c>
      <c r="L157" s="79">
        <f t="shared" si="19"/>
        <v>0</v>
      </c>
      <c r="M157" s="141"/>
      <c r="N157" s="89">
        <v>200001000</v>
      </c>
      <c r="O157" s="90" t="s">
        <v>280</v>
      </c>
      <c r="P157" s="58" t="s">
        <v>24</v>
      </c>
      <c r="Q157" s="104"/>
      <c r="R157" s="97"/>
      <c r="S157" s="11"/>
      <c r="T157" s="11"/>
      <c r="U157" s="11"/>
      <c r="V157" s="11"/>
      <c r="W157" s="11"/>
      <c r="X157" s="11"/>
      <c r="Y157" s="11"/>
      <c r="Z157" s="11"/>
    </row>
    <row r="158" spans="1:26">
      <c r="A158" s="37"/>
      <c r="B158" s="120" t="s">
        <v>281</v>
      </c>
      <c r="C158" s="38" t="s">
        <v>33</v>
      </c>
      <c r="D158" s="39"/>
      <c r="E158" s="39"/>
      <c r="F158" s="49"/>
      <c r="G158" s="49"/>
      <c r="H158" s="49">
        <f t="shared" si="20"/>
        <v>0</v>
      </c>
      <c r="I158" s="49">
        <f t="shared" si="20"/>
        <v>0</v>
      </c>
      <c r="J158" s="49"/>
      <c r="K158" s="39">
        <f t="shared" si="18"/>
        <v>0</v>
      </c>
      <c r="L158" s="79">
        <f t="shared" si="19"/>
        <v>0</v>
      </c>
      <c r="M158" s="141"/>
      <c r="N158" s="89">
        <v>200000998</v>
      </c>
      <c r="O158" s="90" t="s">
        <v>282</v>
      </c>
      <c r="P158" s="58" t="s">
        <v>24</v>
      </c>
      <c r="Q158" s="104"/>
      <c r="R158" s="97"/>
      <c r="S158" s="11"/>
      <c r="T158" s="11"/>
      <c r="U158" s="11"/>
      <c r="V158" s="11"/>
      <c r="W158" s="11"/>
      <c r="X158" s="11"/>
      <c r="Y158" s="11"/>
      <c r="Z158" s="11"/>
    </row>
    <row r="159" spans="1:26">
      <c r="A159" s="37"/>
      <c r="B159" s="120" t="s">
        <v>283</v>
      </c>
      <c r="C159" s="38" t="s">
        <v>33</v>
      </c>
      <c r="D159" s="39"/>
      <c r="E159" s="39"/>
      <c r="F159" s="49"/>
      <c r="G159" s="49"/>
      <c r="H159" s="49">
        <f t="shared" si="20"/>
        <v>0</v>
      </c>
      <c r="I159" s="49">
        <f t="shared" si="20"/>
        <v>0</v>
      </c>
      <c r="J159" s="49"/>
      <c r="K159" s="39">
        <f t="shared" si="18"/>
        <v>0</v>
      </c>
      <c r="L159" s="79">
        <f t="shared" si="19"/>
        <v>0</v>
      </c>
      <c r="M159" s="128">
        <v>200001016</v>
      </c>
      <c r="N159" s="128">
        <v>200001016</v>
      </c>
      <c r="O159" s="90" t="s">
        <v>284</v>
      </c>
      <c r="P159" s="58" t="s">
        <v>24</v>
      </c>
      <c r="Q159" s="104"/>
      <c r="R159" s="97"/>
      <c r="S159" s="11"/>
      <c r="T159" s="11"/>
      <c r="U159" s="11"/>
      <c r="V159" s="11"/>
      <c r="W159" s="11"/>
      <c r="X159" s="11"/>
      <c r="Y159" s="11"/>
      <c r="Z159" s="11"/>
    </row>
    <row r="160" spans="1:26">
      <c r="A160" s="37" t="s">
        <v>115</v>
      </c>
      <c r="B160" s="120" t="s">
        <v>285</v>
      </c>
      <c r="C160" s="38"/>
      <c r="D160" s="39"/>
      <c r="E160" s="39"/>
      <c r="F160" s="49"/>
      <c r="G160" s="49"/>
      <c r="H160" s="49">
        <f t="shared" si="20"/>
        <v>0</v>
      </c>
      <c r="I160" s="49">
        <f t="shared" si="20"/>
        <v>0</v>
      </c>
      <c r="J160" s="49"/>
      <c r="K160" s="39">
        <f t="shared" si="18"/>
        <v>0</v>
      </c>
      <c r="L160" s="79">
        <f t="shared" si="19"/>
        <v>0</v>
      </c>
      <c r="M160" s="141"/>
      <c r="N160" s="64"/>
      <c r="O160" s="64"/>
      <c r="P160" s="141"/>
      <c r="Q160" s="104"/>
      <c r="R160" s="97"/>
      <c r="S160" s="11"/>
      <c r="T160" s="11"/>
      <c r="U160" s="11"/>
      <c r="V160" s="11"/>
      <c r="W160" s="11"/>
      <c r="X160" s="11"/>
      <c r="Y160" s="11"/>
      <c r="Z160" s="11"/>
    </row>
    <row r="161" spans="1:26">
      <c r="A161" s="37"/>
      <c r="B161" s="120" t="s">
        <v>286</v>
      </c>
      <c r="C161" s="38" t="s">
        <v>33</v>
      </c>
      <c r="D161" s="39"/>
      <c r="E161" s="39"/>
      <c r="F161" s="49"/>
      <c r="G161" s="49"/>
      <c r="H161" s="49">
        <f t="shared" si="20"/>
        <v>0</v>
      </c>
      <c r="I161" s="49">
        <f t="shared" si="20"/>
        <v>0</v>
      </c>
      <c r="J161" s="49"/>
      <c r="K161" s="39">
        <f t="shared" si="18"/>
        <v>0</v>
      </c>
      <c r="L161" s="79">
        <f t="shared" si="19"/>
        <v>0</v>
      </c>
      <c r="M161" s="141"/>
      <c r="N161" s="89">
        <v>200001008</v>
      </c>
      <c r="O161" s="90" t="s">
        <v>287</v>
      </c>
      <c r="P161" s="58" t="s">
        <v>24</v>
      </c>
      <c r="Q161" s="104"/>
      <c r="R161" s="97"/>
      <c r="S161" s="11"/>
      <c r="T161" s="11"/>
      <c r="U161" s="11"/>
      <c r="V161" s="11"/>
      <c r="W161" s="11"/>
      <c r="X161" s="11"/>
      <c r="Y161" s="11"/>
      <c r="Z161" s="11"/>
    </row>
    <row r="162" spans="1:26">
      <c r="A162" s="37"/>
      <c r="B162" s="120" t="s">
        <v>288</v>
      </c>
      <c r="C162" s="38" t="s">
        <v>33</v>
      </c>
      <c r="D162" s="287">
        <f>E162</f>
        <v>0</v>
      </c>
      <c r="E162" s="241">
        <f>SUM('BoM CLUSTER UG'!C53:L56)*2</f>
        <v>0</v>
      </c>
      <c r="F162" s="49"/>
      <c r="G162" s="49"/>
      <c r="H162" s="49">
        <f>E162*F162</f>
        <v>0</v>
      </c>
      <c r="I162" s="49" t="e">
        <f>#REF!*G162</f>
        <v>#REF!</v>
      </c>
      <c r="J162" s="49"/>
      <c r="K162" s="39" t="e">
        <f>E162+#REF!</f>
        <v>#REF!</v>
      </c>
      <c r="L162" s="79">
        <f t="shared" si="19"/>
        <v>0</v>
      </c>
      <c r="M162" s="141"/>
      <c r="N162" s="89">
        <v>200001018</v>
      </c>
      <c r="O162" s="90" t="s">
        <v>289</v>
      </c>
      <c r="P162" s="58" t="s">
        <v>24</v>
      </c>
      <c r="Q162" s="104"/>
      <c r="R162" s="97"/>
      <c r="S162" s="11"/>
      <c r="T162" s="11"/>
      <c r="U162" s="11"/>
      <c r="V162" s="11"/>
      <c r="W162" s="11"/>
      <c r="X162" s="11"/>
      <c r="Y162" s="11"/>
      <c r="Z162" s="11"/>
    </row>
    <row r="163" spans="1:26">
      <c r="A163" s="37"/>
      <c r="B163" s="120" t="s">
        <v>290</v>
      </c>
      <c r="C163" s="38" t="s">
        <v>148</v>
      </c>
      <c r="D163" s="39"/>
      <c r="E163" s="39"/>
      <c r="F163" s="49"/>
      <c r="G163" s="49"/>
      <c r="H163" s="49">
        <f t="shared" si="20"/>
        <v>0</v>
      </c>
      <c r="I163" s="49">
        <f t="shared" si="20"/>
        <v>0</v>
      </c>
      <c r="J163" s="49"/>
      <c r="K163" s="39">
        <f t="shared" si="18"/>
        <v>0</v>
      </c>
      <c r="L163" s="79">
        <f t="shared" si="19"/>
        <v>0</v>
      </c>
      <c r="M163" s="141"/>
      <c r="N163" s="89">
        <v>200000993</v>
      </c>
      <c r="O163" s="90" t="s">
        <v>291</v>
      </c>
      <c r="P163" s="58" t="s">
        <v>24</v>
      </c>
      <c r="Q163" s="104"/>
      <c r="R163" s="97"/>
      <c r="S163" s="11"/>
      <c r="T163" s="11"/>
      <c r="U163" s="11"/>
      <c r="V163" s="11"/>
      <c r="W163" s="11"/>
      <c r="X163" s="11"/>
      <c r="Y163" s="11"/>
      <c r="Z163" s="11"/>
    </row>
    <row r="164" spans="1:26">
      <c r="A164" s="37"/>
      <c r="B164" s="120" t="s">
        <v>292</v>
      </c>
      <c r="C164" s="38" t="s">
        <v>148</v>
      </c>
      <c r="D164" s="39"/>
      <c r="E164" s="39"/>
      <c r="F164" s="49"/>
      <c r="G164" s="49"/>
      <c r="H164" s="49">
        <f t="shared" si="20"/>
        <v>0</v>
      </c>
      <c r="I164" s="49">
        <f t="shared" si="20"/>
        <v>0</v>
      </c>
      <c r="J164" s="49"/>
      <c r="K164" s="39">
        <f t="shared" si="18"/>
        <v>0</v>
      </c>
      <c r="L164" s="79">
        <f t="shared" si="19"/>
        <v>0</v>
      </c>
      <c r="M164" s="141"/>
      <c r="N164" s="89">
        <v>200001021</v>
      </c>
      <c r="O164" s="90" t="s">
        <v>293</v>
      </c>
      <c r="P164" s="58" t="s">
        <v>24</v>
      </c>
      <c r="Q164" s="104"/>
      <c r="R164" s="97"/>
      <c r="S164" s="11"/>
      <c r="T164" s="11"/>
      <c r="U164" s="11"/>
      <c r="V164" s="11"/>
      <c r="W164" s="11"/>
      <c r="X164" s="11"/>
      <c r="Y164" s="11"/>
      <c r="Z164" s="11"/>
    </row>
    <row r="165" spans="1:26">
      <c r="A165" s="37"/>
      <c r="B165" s="122" t="s">
        <v>294</v>
      </c>
      <c r="C165" s="65" t="s">
        <v>148</v>
      </c>
      <c r="D165" s="39"/>
      <c r="E165" s="39"/>
      <c r="F165" s="49"/>
      <c r="G165" s="49"/>
      <c r="H165" s="49">
        <f t="shared" si="20"/>
        <v>0</v>
      </c>
      <c r="I165" s="49">
        <f t="shared" si="20"/>
        <v>0</v>
      </c>
      <c r="J165" s="49"/>
      <c r="K165" s="39">
        <f t="shared" si="18"/>
        <v>0</v>
      </c>
      <c r="L165" s="79">
        <f t="shared" si="19"/>
        <v>0</v>
      </c>
      <c r="M165" s="141"/>
      <c r="N165" s="89">
        <v>200001004</v>
      </c>
      <c r="O165" s="90" t="s">
        <v>295</v>
      </c>
      <c r="P165" s="58" t="s">
        <v>24</v>
      </c>
      <c r="Q165" s="104"/>
      <c r="R165" s="97"/>
      <c r="S165" s="11"/>
      <c r="T165" s="11"/>
      <c r="U165" s="11"/>
      <c r="V165" s="11"/>
      <c r="W165" s="11"/>
      <c r="X165" s="11"/>
      <c r="Y165" s="11"/>
      <c r="Z165" s="11"/>
    </row>
    <row r="166" spans="1:26">
      <c r="A166" s="37"/>
      <c r="B166" s="122" t="s">
        <v>296</v>
      </c>
      <c r="C166" s="65" t="s">
        <v>148</v>
      </c>
      <c r="D166" s="39"/>
      <c r="E166" s="39"/>
      <c r="F166" s="49"/>
      <c r="G166" s="49"/>
      <c r="H166" s="49">
        <f t="shared" si="20"/>
        <v>0</v>
      </c>
      <c r="I166" s="49">
        <f t="shared" si="20"/>
        <v>0</v>
      </c>
      <c r="J166" s="49"/>
      <c r="K166" s="39">
        <f t="shared" si="18"/>
        <v>0</v>
      </c>
      <c r="L166" s="79">
        <f t="shared" si="19"/>
        <v>0</v>
      </c>
      <c r="M166" s="141"/>
      <c r="N166" s="89">
        <v>200000991</v>
      </c>
      <c r="O166" s="90" t="s">
        <v>297</v>
      </c>
      <c r="P166" s="58" t="s">
        <v>24</v>
      </c>
      <c r="Q166" s="104"/>
      <c r="R166" s="97"/>
      <c r="S166" s="11"/>
      <c r="T166" s="11"/>
      <c r="U166" s="11"/>
      <c r="V166" s="11"/>
      <c r="W166" s="11"/>
      <c r="X166" s="11"/>
      <c r="Y166" s="11"/>
      <c r="Z166" s="11"/>
    </row>
    <row r="167" spans="1:26">
      <c r="A167" s="37"/>
      <c r="B167" s="122" t="s">
        <v>298</v>
      </c>
      <c r="C167" s="65" t="s">
        <v>148</v>
      </c>
      <c r="D167" s="39"/>
      <c r="E167" s="39"/>
      <c r="F167" s="49"/>
      <c r="G167" s="49"/>
      <c r="H167" s="49">
        <f t="shared" si="20"/>
        <v>0</v>
      </c>
      <c r="I167" s="49">
        <f t="shared" si="20"/>
        <v>0</v>
      </c>
      <c r="J167" s="49"/>
      <c r="K167" s="39">
        <f t="shared" si="18"/>
        <v>0</v>
      </c>
      <c r="L167" s="79">
        <f t="shared" si="19"/>
        <v>0</v>
      </c>
      <c r="M167" s="141"/>
      <c r="N167" s="89">
        <v>200000997</v>
      </c>
      <c r="O167" s="90" t="s">
        <v>299</v>
      </c>
      <c r="P167" s="58" t="s">
        <v>24</v>
      </c>
      <c r="Q167" s="104"/>
      <c r="R167" s="97"/>
      <c r="S167" s="11"/>
      <c r="T167" s="11"/>
      <c r="U167" s="11"/>
      <c r="V167" s="11"/>
      <c r="W167" s="11"/>
      <c r="X167" s="11"/>
      <c r="Y167" s="11"/>
      <c r="Z167" s="11"/>
    </row>
    <row r="168" spans="1:26">
      <c r="A168" s="37"/>
      <c r="B168" s="120" t="s">
        <v>300</v>
      </c>
      <c r="C168" s="38" t="s">
        <v>148</v>
      </c>
      <c r="D168" s="39"/>
      <c r="E168" s="39"/>
      <c r="F168" s="49"/>
      <c r="G168" s="49"/>
      <c r="H168" s="49">
        <f t="shared" si="20"/>
        <v>0</v>
      </c>
      <c r="I168" s="49">
        <f t="shared" si="20"/>
        <v>0</v>
      </c>
      <c r="J168" s="49"/>
      <c r="K168" s="39">
        <f t="shared" si="18"/>
        <v>0</v>
      </c>
      <c r="L168" s="79">
        <f t="shared" si="19"/>
        <v>0</v>
      </c>
      <c r="M168" s="141"/>
      <c r="N168" s="89">
        <v>200001027</v>
      </c>
      <c r="O168" s="90" t="s">
        <v>301</v>
      </c>
      <c r="P168" s="58" t="s">
        <v>24</v>
      </c>
      <c r="Q168" s="104"/>
      <c r="R168" s="97"/>
      <c r="S168" s="11"/>
      <c r="T168" s="11"/>
      <c r="U168" s="11"/>
      <c r="V168" s="11"/>
      <c r="W168" s="11"/>
      <c r="X168" s="11"/>
      <c r="Y168" s="11"/>
      <c r="Z168" s="11"/>
    </row>
    <row r="169" spans="1:26">
      <c r="A169" s="37"/>
      <c r="B169" s="120" t="s">
        <v>302</v>
      </c>
      <c r="C169" s="38" t="s">
        <v>148</v>
      </c>
      <c r="D169" s="39"/>
      <c r="E169" s="39"/>
      <c r="F169" s="49"/>
      <c r="G169" s="49"/>
      <c r="H169" s="49">
        <f t="shared" si="20"/>
        <v>0</v>
      </c>
      <c r="I169" s="49">
        <f t="shared" si="20"/>
        <v>0</v>
      </c>
      <c r="J169" s="49"/>
      <c r="K169" s="39">
        <f t="shared" si="18"/>
        <v>0</v>
      </c>
      <c r="L169" s="79">
        <f t="shared" si="19"/>
        <v>0</v>
      </c>
      <c r="M169" s="141"/>
      <c r="N169" s="89">
        <v>200001006</v>
      </c>
      <c r="O169" s="90" t="s">
        <v>303</v>
      </c>
      <c r="P169" s="58" t="s">
        <v>24</v>
      </c>
      <c r="Q169" s="104"/>
      <c r="R169" s="97"/>
      <c r="S169" s="11"/>
      <c r="T169" s="11"/>
      <c r="U169" s="11"/>
      <c r="V169" s="11"/>
      <c r="W169" s="11"/>
      <c r="X169" s="11"/>
      <c r="Y169" s="11"/>
      <c r="Z169" s="11"/>
    </row>
    <row r="170" spans="1:26">
      <c r="A170" s="37"/>
      <c r="B170" s="120" t="s">
        <v>304</v>
      </c>
      <c r="C170" s="38" t="s">
        <v>148</v>
      </c>
      <c r="D170" s="39"/>
      <c r="E170" s="39"/>
      <c r="F170" s="49"/>
      <c r="G170" s="49"/>
      <c r="H170" s="49">
        <f t="shared" si="20"/>
        <v>0</v>
      </c>
      <c r="I170" s="49">
        <f t="shared" si="20"/>
        <v>0</v>
      </c>
      <c r="J170" s="49"/>
      <c r="K170" s="39">
        <f t="shared" si="18"/>
        <v>0</v>
      </c>
      <c r="L170" s="79">
        <f t="shared" si="19"/>
        <v>0</v>
      </c>
      <c r="M170" s="141"/>
      <c r="N170" s="89">
        <v>200001014</v>
      </c>
      <c r="O170" s="90" t="s">
        <v>305</v>
      </c>
      <c r="P170" s="58" t="s">
        <v>24</v>
      </c>
      <c r="Q170" s="104"/>
      <c r="R170" s="97"/>
      <c r="S170" s="11"/>
      <c r="T170" s="11"/>
      <c r="U170" s="11"/>
      <c r="V170" s="11"/>
      <c r="W170" s="11"/>
      <c r="X170" s="11"/>
      <c r="Y170" s="11"/>
      <c r="Z170" s="11"/>
    </row>
    <row r="171" spans="1:26">
      <c r="A171" s="37"/>
      <c r="B171" s="120" t="s">
        <v>306</v>
      </c>
      <c r="C171" s="38" t="s">
        <v>148</v>
      </c>
      <c r="D171" s="39"/>
      <c r="E171" s="39"/>
      <c r="F171" s="49"/>
      <c r="G171" s="49"/>
      <c r="H171" s="49">
        <f t="shared" si="20"/>
        <v>0</v>
      </c>
      <c r="I171" s="49">
        <f t="shared" si="20"/>
        <v>0</v>
      </c>
      <c r="J171" s="49"/>
      <c r="K171" s="39">
        <f t="shared" si="18"/>
        <v>0</v>
      </c>
      <c r="L171" s="79">
        <f t="shared" si="19"/>
        <v>0</v>
      </c>
      <c r="M171" s="141"/>
      <c r="N171" s="89">
        <v>200000999</v>
      </c>
      <c r="O171" s="90" t="s">
        <v>307</v>
      </c>
      <c r="P171" s="58" t="s">
        <v>24</v>
      </c>
      <c r="Q171" s="104"/>
      <c r="R171" s="97"/>
      <c r="S171" s="11"/>
      <c r="T171" s="11"/>
      <c r="U171" s="11"/>
      <c r="V171" s="11"/>
      <c r="W171" s="11"/>
      <c r="X171" s="11"/>
      <c r="Y171" s="11"/>
      <c r="Z171" s="11"/>
    </row>
    <row r="172" spans="1:26">
      <c r="A172" s="37"/>
      <c r="B172" s="57" t="s">
        <v>308</v>
      </c>
      <c r="C172" s="38" t="s">
        <v>33</v>
      </c>
      <c r="D172" s="39"/>
      <c r="E172" s="39"/>
      <c r="F172" s="49"/>
      <c r="G172" s="49"/>
      <c r="H172" s="49">
        <f t="shared" si="20"/>
        <v>0</v>
      </c>
      <c r="I172" s="49">
        <f t="shared" si="20"/>
        <v>0</v>
      </c>
      <c r="J172" s="49"/>
      <c r="K172" s="39">
        <f t="shared" si="18"/>
        <v>0</v>
      </c>
      <c r="L172" s="79">
        <f t="shared" si="19"/>
        <v>0</v>
      </c>
      <c r="M172" s="141"/>
      <c r="N172" s="89">
        <v>200000267</v>
      </c>
      <c r="O172" s="62" t="s">
        <v>309</v>
      </c>
      <c r="P172" s="58" t="s">
        <v>24</v>
      </c>
      <c r="Q172" s="104"/>
      <c r="R172" s="97"/>
      <c r="S172" s="11"/>
      <c r="T172" s="11"/>
      <c r="U172" s="11"/>
      <c r="V172" s="11"/>
      <c r="W172" s="11"/>
      <c r="X172" s="11"/>
      <c r="Y172" s="11"/>
      <c r="Z172" s="11"/>
    </row>
    <row r="173" spans="1:26">
      <c r="A173" s="37" t="s">
        <v>146</v>
      </c>
      <c r="B173" s="57" t="s">
        <v>310</v>
      </c>
      <c r="C173" s="38"/>
      <c r="D173" s="39"/>
      <c r="E173" s="39"/>
      <c r="F173" s="49"/>
      <c r="G173" s="49"/>
      <c r="H173" s="49">
        <f t="shared" si="20"/>
        <v>0</v>
      </c>
      <c r="I173" s="49">
        <f t="shared" si="20"/>
        <v>0</v>
      </c>
      <c r="J173" s="49"/>
      <c r="K173" s="39">
        <f t="shared" si="18"/>
        <v>0</v>
      </c>
      <c r="L173" s="79">
        <f t="shared" si="19"/>
        <v>0</v>
      </c>
      <c r="M173" s="141"/>
      <c r="N173" s="64"/>
      <c r="O173" s="64"/>
      <c r="P173" s="141"/>
      <c r="Q173" s="104"/>
      <c r="R173" s="97"/>
      <c r="S173" s="11"/>
      <c r="T173" s="11"/>
      <c r="U173" s="11"/>
      <c r="V173" s="11"/>
      <c r="W173" s="11"/>
      <c r="X173" s="11"/>
      <c r="Y173" s="11"/>
      <c r="Z173" s="11"/>
    </row>
    <row r="174" spans="1:26">
      <c r="A174" s="37"/>
      <c r="B174" s="57" t="s">
        <v>311</v>
      </c>
      <c r="C174" s="38" t="s">
        <v>65</v>
      </c>
      <c r="D174" s="277">
        <f>--(IF(T$5="TURNKEY",E175))</f>
        <v>0</v>
      </c>
      <c r="E174" s="39"/>
      <c r="F174" s="49"/>
      <c r="G174" s="49"/>
      <c r="H174" s="49">
        <f t="shared" si="20"/>
        <v>0</v>
      </c>
      <c r="I174" s="49">
        <f t="shared" si="20"/>
        <v>0</v>
      </c>
      <c r="J174" s="49"/>
      <c r="K174" s="39">
        <f t="shared" si="18"/>
        <v>0</v>
      </c>
      <c r="L174" s="79">
        <f t="shared" si="19"/>
        <v>0</v>
      </c>
      <c r="M174" s="141"/>
      <c r="N174" s="89">
        <v>200000978</v>
      </c>
      <c r="O174" s="90" t="s">
        <v>312</v>
      </c>
      <c r="P174" s="58" t="s">
        <v>24</v>
      </c>
      <c r="Q174" s="104"/>
      <c r="R174" s="97"/>
      <c r="S174" s="11"/>
      <c r="T174" s="11"/>
      <c r="U174" s="11"/>
      <c r="V174" s="11"/>
      <c r="W174" s="11"/>
      <c r="X174" s="11"/>
      <c r="Y174" s="11"/>
      <c r="Z174" s="11"/>
    </row>
    <row r="175" spans="1:26">
      <c r="A175" s="37"/>
      <c r="B175" s="57" t="s">
        <v>313</v>
      </c>
      <c r="C175" s="38" t="s">
        <v>65</v>
      </c>
      <c r="D175" s="39"/>
      <c r="E175" s="277">
        <f>SUM('BoM CLUSTER UG'!C114:L114)</f>
        <v>0</v>
      </c>
      <c r="F175" s="49"/>
      <c r="G175" s="49"/>
      <c r="H175" s="49">
        <f t="shared" si="20"/>
        <v>0</v>
      </c>
      <c r="I175" s="49">
        <f t="shared" si="20"/>
        <v>0</v>
      </c>
      <c r="J175" s="49"/>
      <c r="K175" s="39">
        <f t="shared" si="18"/>
        <v>0</v>
      </c>
      <c r="L175" s="79">
        <f t="shared" si="19"/>
        <v>0</v>
      </c>
      <c r="M175" s="141"/>
      <c r="N175" s="89">
        <v>500002102</v>
      </c>
      <c r="O175" s="129" t="s">
        <v>314</v>
      </c>
      <c r="P175" s="58" t="s">
        <v>21</v>
      </c>
      <c r="Q175" s="104"/>
      <c r="R175" s="97"/>
      <c r="S175" s="11"/>
      <c r="T175" s="11"/>
      <c r="U175" s="11"/>
      <c r="V175" s="11"/>
      <c r="W175" s="11"/>
      <c r="X175" s="11"/>
      <c r="Y175" s="11"/>
      <c r="Z175" s="11"/>
    </row>
    <row r="176" spans="1:26">
      <c r="A176" s="37"/>
      <c r="B176" s="57" t="s">
        <v>315</v>
      </c>
      <c r="C176" s="38" t="s">
        <v>65</v>
      </c>
      <c r="D176" s="277">
        <f>E177</f>
        <v>0</v>
      </c>
      <c r="E176" s="39"/>
      <c r="F176" s="49"/>
      <c r="G176" s="49"/>
      <c r="H176" s="49">
        <f t="shared" si="20"/>
        <v>0</v>
      </c>
      <c r="I176" s="49">
        <f t="shared" si="20"/>
        <v>0</v>
      </c>
      <c r="J176" s="49"/>
      <c r="K176" s="39">
        <f t="shared" si="18"/>
        <v>0</v>
      </c>
      <c r="L176" s="79">
        <f t="shared" si="19"/>
        <v>0</v>
      </c>
      <c r="M176" s="141"/>
      <c r="N176" s="37">
        <v>200000710</v>
      </c>
      <c r="O176" s="62" t="s">
        <v>316</v>
      </c>
      <c r="P176" s="58" t="s">
        <v>24</v>
      </c>
      <c r="Q176" s="104"/>
      <c r="R176" s="97"/>
      <c r="S176" s="11"/>
      <c r="T176" s="11"/>
      <c r="U176" s="11"/>
      <c r="V176" s="11"/>
      <c r="W176" s="11"/>
      <c r="X176" s="11"/>
      <c r="Y176" s="11"/>
      <c r="Z176" s="11"/>
    </row>
    <row r="177" spans="1:26">
      <c r="A177" s="37"/>
      <c r="B177" s="57" t="s">
        <v>317</v>
      </c>
      <c r="C177" s="38" t="s">
        <v>65</v>
      </c>
      <c r="D177" s="39"/>
      <c r="E177" s="277">
        <f>SUM('BoM CLUSTER UG'!C118:L118)</f>
        <v>0</v>
      </c>
      <c r="F177" s="49"/>
      <c r="G177" s="49"/>
      <c r="H177" s="49">
        <f t="shared" si="20"/>
        <v>0</v>
      </c>
      <c r="I177" s="49">
        <f t="shared" si="20"/>
        <v>0</v>
      </c>
      <c r="J177" s="49"/>
      <c r="K177" s="39">
        <f t="shared" si="18"/>
        <v>0</v>
      </c>
      <c r="L177" s="79">
        <f t="shared" si="19"/>
        <v>0</v>
      </c>
      <c r="M177" s="141"/>
      <c r="N177" s="93">
        <v>500002101</v>
      </c>
      <c r="O177" s="140" t="s">
        <v>318</v>
      </c>
      <c r="P177" s="58" t="s">
        <v>21</v>
      </c>
      <c r="Q177" s="104"/>
      <c r="R177" s="97"/>
      <c r="S177" s="11"/>
      <c r="T177" s="11"/>
      <c r="U177" s="11"/>
      <c r="V177" s="11"/>
      <c r="W177" s="11"/>
      <c r="X177" s="11"/>
      <c r="Y177" s="11"/>
      <c r="Z177" s="11"/>
    </row>
    <row r="178" spans="1:26">
      <c r="A178" s="37"/>
      <c r="B178" s="57" t="s">
        <v>319</v>
      </c>
      <c r="C178" s="38" t="s">
        <v>65</v>
      </c>
      <c r="D178" s="277">
        <f>--(IF(T$5="TURNKEY",E179))</f>
        <v>0</v>
      </c>
      <c r="E178" s="39"/>
      <c r="F178" s="49"/>
      <c r="G178" s="49"/>
      <c r="H178" s="49">
        <f t="shared" si="20"/>
        <v>0</v>
      </c>
      <c r="I178" s="49">
        <f t="shared" si="20"/>
        <v>0</v>
      </c>
      <c r="J178" s="49"/>
      <c r="K178" s="39">
        <f t="shared" si="18"/>
        <v>0</v>
      </c>
      <c r="L178" s="79">
        <f t="shared" si="19"/>
        <v>0</v>
      </c>
      <c r="M178" s="141"/>
      <c r="N178" s="89">
        <v>200001032</v>
      </c>
      <c r="O178" s="90" t="s">
        <v>320</v>
      </c>
      <c r="P178" s="58" t="s">
        <v>24</v>
      </c>
      <c r="Q178" s="104"/>
      <c r="R178" s="97"/>
      <c r="S178" s="11"/>
      <c r="T178" s="11"/>
      <c r="U178" s="11"/>
      <c r="V178" s="11"/>
      <c r="W178" s="11"/>
      <c r="X178" s="11"/>
      <c r="Y178" s="11"/>
      <c r="Z178" s="11"/>
    </row>
    <row r="179" spans="1:26">
      <c r="A179" s="37"/>
      <c r="B179" s="57" t="s">
        <v>321</v>
      </c>
      <c r="C179" s="38" t="s">
        <v>65</v>
      </c>
      <c r="D179" s="39"/>
      <c r="E179" s="277">
        <f>SUM('BoM CLUSTER UG'!C115:L115)</f>
        <v>0</v>
      </c>
      <c r="F179" s="49"/>
      <c r="G179" s="49"/>
      <c r="H179" s="49">
        <f t="shared" si="20"/>
        <v>0</v>
      </c>
      <c r="I179" s="49">
        <f t="shared" si="20"/>
        <v>0</v>
      </c>
      <c r="J179" s="49"/>
      <c r="K179" s="39">
        <f t="shared" si="18"/>
        <v>0</v>
      </c>
      <c r="L179" s="79">
        <f t="shared" si="19"/>
        <v>0</v>
      </c>
      <c r="M179" s="141"/>
      <c r="N179" s="89">
        <v>500002060</v>
      </c>
      <c r="O179" s="90" t="s">
        <v>322</v>
      </c>
      <c r="P179" s="58" t="s">
        <v>21</v>
      </c>
      <c r="Q179" s="104"/>
      <c r="R179" s="97"/>
      <c r="S179" s="11"/>
      <c r="T179" s="11"/>
      <c r="U179" s="11"/>
      <c r="V179" s="11"/>
      <c r="W179" s="11"/>
      <c r="X179" s="11"/>
      <c r="Y179" s="11"/>
      <c r="Z179" s="11"/>
    </row>
    <row r="180" spans="1:26">
      <c r="A180" s="37" t="s">
        <v>323</v>
      </c>
      <c r="B180" s="57" t="s">
        <v>324</v>
      </c>
      <c r="C180" s="38" t="s">
        <v>65</v>
      </c>
      <c r="D180" s="277">
        <f>E181</f>
        <v>0</v>
      </c>
      <c r="E180" s="39"/>
      <c r="F180" s="49"/>
      <c r="G180" s="49"/>
      <c r="H180" s="49">
        <f t="shared" si="20"/>
        <v>0</v>
      </c>
      <c r="I180" s="49">
        <f t="shared" si="20"/>
        <v>0</v>
      </c>
      <c r="J180" s="49"/>
      <c r="K180" s="39">
        <f t="shared" si="18"/>
        <v>0</v>
      </c>
      <c r="L180" s="79">
        <f t="shared" si="19"/>
        <v>0</v>
      </c>
      <c r="M180" s="141"/>
      <c r="N180" s="37">
        <v>200000613</v>
      </c>
      <c r="O180" s="62" t="s">
        <v>325</v>
      </c>
      <c r="P180" s="58" t="s">
        <v>24</v>
      </c>
      <c r="Q180" s="104"/>
      <c r="R180" s="97"/>
      <c r="S180" s="11"/>
      <c r="T180" s="11"/>
      <c r="U180" s="11"/>
      <c r="V180" s="11"/>
      <c r="W180" s="11"/>
      <c r="X180" s="11"/>
      <c r="Y180" s="11"/>
      <c r="Z180" s="11"/>
    </row>
    <row r="181" spans="1:26">
      <c r="A181" s="37"/>
      <c r="B181" s="57" t="s">
        <v>326</v>
      </c>
      <c r="C181" s="38" t="s">
        <v>65</v>
      </c>
      <c r="D181" s="39"/>
      <c r="E181" s="277">
        <f>SUM('BoM CLUSTER UG'!C119:L119)</f>
        <v>0</v>
      </c>
      <c r="F181" s="49"/>
      <c r="G181" s="49"/>
      <c r="H181" s="49">
        <f t="shared" si="20"/>
        <v>0</v>
      </c>
      <c r="I181" s="49">
        <f t="shared" si="20"/>
        <v>0</v>
      </c>
      <c r="J181" s="49"/>
      <c r="K181" s="39">
        <f t="shared" si="18"/>
        <v>0</v>
      </c>
      <c r="L181" s="79">
        <f t="shared" si="19"/>
        <v>0</v>
      </c>
      <c r="M181" s="141"/>
      <c r="N181" s="89">
        <v>500001316</v>
      </c>
      <c r="O181" s="90" t="s">
        <v>327</v>
      </c>
      <c r="P181" s="58" t="s">
        <v>21</v>
      </c>
      <c r="Q181" s="104"/>
      <c r="R181" s="97"/>
      <c r="S181" s="11"/>
      <c r="T181" s="11"/>
      <c r="U181" s="11"/>
      <c r="V181" s="11"/>
      <c r="W181" s="11"/>
      <c r="X181" s="11"/>
      <c r="Y181" s="11"/>
      <c r="Z181" s="11"/>
    </row>
    <row r="182" spans="1:26">
      <c r="A182" s="37"/>
      <c r="B182" s="57" t="s">
        <v>328</v>
      </c>
      <c r="C182" s="38" t="s">
        <v>65</v>
      </c>
      <c r="D182" s="277">
        <f>--(IF(T$5="TURNKEY",E183))</f>
        <v>0</v>
      </c>
      <c r="E182" s="39"/>
      <c r="F182" s="49"/>
      <c r="G182" s="49"/>
      <c r="H182" s="49">
        <f t="shared" si="20"/>
        <v>0</v>
      </c>
      <c r="I182" s="49">
        <f t="shared" si="20"/>
        <v>0</v>
      </c>
      <c r="J182" s="49"/>
      <c r="K182" s="39">
        <f t="shared" si="18"/>
        <v>0</v>
      </c>
      <c r="L182" s="79">
        <f t="shared" si="19"/>
        <v>0</v>
      </c>
      <c r="M182" s="141"/>
      <c r="N182" s="89">
        <v>200000992</v>
      </c>
      <c r="O182" s="90" t="s">
        <v>329</v>
      </c>
      <c r="P182" s="58" t="s">
        <v>24</v>
      </c>
      <c r="Q182" s="104"/>
      <c r="R182" s="97"/>
      <c r="S182" s="11"/>
      <c r="T182" s="11"/>
      <c r="U182" s="11"/>
      <c r="V182" s="11"/>
      <c r="W182" s="11"/>
      <c r="X182" s="11"/>
      <c r="Y182" s="11"/>
      <c r="Z182" s="11"/>
    </row>
    <row r="183" spans="1:26">
      <c r="A183" s="37"/>
      <c r="B183" s="57" t="s">
        <v>330</v>
      </c>
      <c r="C183" s="38" t="s">
        <v>65</v>
      </c>
      <c r="D183" s="39"/>
      <c r="E183" s="277">
        <f>SUM('BoM CLUSTER UG'!C116:L116)</f>
        <v>0</v>
      </c>
      <c r="F183" s="49"/>
      <c r="G183" s="49"/>
      <c r="H183" s="49">
        <f t="shared" si="20"/>
        <v>0</v>
      </c>
      <c r="I183" s="49">
        <f t="shared" si="20"/>
        <v>0</v>
      </c>
      <c r="J183" s="49"/>
      <c r="K183" s="39">
        <f t="shared" si="18"/>
        <v>0</v>
      </c>
      <c r="L183" s="79">
        <f t="shared" si="19"/>
        <v>0</v>
      </c>
      <c r="M183" s="141"/>
      <c r="N183" s="89">
        <v>500002061</v>
      </c>
      <c r="O183" s="90" t="s">
        <v>331</v>
      </c>
      <c r="P183" s="58" t="s">
        <v>21</v>
      </c>
      <c r="Q183" s="104"/>
      <c r="R183" s="97"/>
      <c r="S183" s="11"/>
      <c r="T183" s="11"/>
      <c r="U183" s="11"/>
      <c r="V183" s="11"/>
      <c r="W183" s="11"/>
      <c r="X183" s="11"/>
      <c r="Y183" s="11"/>
      <c r="Z183" s="11"/>
    </row>
    <row r="184" spans="1:26">
      <c r="A184" s="37"/>
      <c r="B184" s="57" t="s">
        <v>332</v>
      </c>
      <c r="C184" s="38" t="s">
        <v>65</v>
      </c>
      <c r="D184" s="277">
        <f>E185</f>
        <v>0</v>
      </c>
      <c r="E184" s="39"/>
      <c r="F184" s="49"/>
      <c r="G184" s="49"/>
      <c r="H184" s="49">
        <f t="shared" si="20"/>
        <v>0</v>
      </c>
      <c r="I184" s="49">
        <f t="shared" si="20"/>
        <v>0</v>
      </c>
      <c r="J184" s="49"/>
      <c r="K184" s="39">
        <f t="shared" si="18"/>
        <v>0</v>
      </c>
      <c r="L184" s="79">
        <f t="shared" si="19"/>
        <v>0</v>
      </c>
      <c r="M184" s="141"/>
      <c r="N184" s="89">
        <v>200001013</v>
      </c>
      <c r="O184" s="90" t="s">
        <v>333</v>
      </c>
      <c r="P184" s="58" t="s">
        <v>24</v>
      </c>
      <c r="Q184" s="104"/>
      <c r="R184" s="97"/>
      <c r="S184" s="11"/>
      <c r="T184" s="11"/>
      <c r="U184" s="11"/>
      <c r="V184" s="11"/>
      <c r="W184" s="11"/>
      <c r="X184" s="11"/>
      <c r="Y184" s="11"/>
      <c r="Z184" s="11"/>
    </row>
    <row r="185" spans="1:26">
      <c r="A185" s="37"/>
      <c r="B185" s="57" t="s">
        <v>334</v>
      </c>
      <c r="C185" s="38" t="s">
        <v>65</v>
      </c>
      <c r="D185" s="39"/>
      <c r="E185" s="277">
        <f>SUM('BoM CLUSTER UG'!C120:L120)</f>
        <v>0</v>
      </c>
      <c r="F185" s="49"/>
      <c r="G185" s="49"/>
      <c r="H185" s="49">
        <f t="shared" si="20"/>
        <v>0</v>
      </c>
      <c r="I185" s="49">
        <f t="shared" si="20"/>
        <v>0</v>
      </c>
      <c r="J185" s="49"/>
      <c r="K185" s="39">
        <f t="shared" si="18"/>
        <v>0</v>
      </c>
      <c r="L185" s="79">
        <f t="shared" si="19"/>
        <v>0</v>
      </c>
      <c r="M185" s="141"/>
      <c r="N185" s="89">
        <v>500002063</v>
      </c>
      <c r="O185" s="90" t="s">
        <v>335</v>
      </c>
      <c r="P185" s="58" t="s">
        <v>21</v>
      </c>
      <c r="Q185" s="104"/>
      <c r="R185" s="97"/>
      <c r="S185" s="11"/>
      <c r="T185" s="11"/>
      <c r="U185" s="11"/>
      <c r="V185" s="11"/>
      <c r="W185" s="11"/>
      <c r="X185" s="11"/>
      <c r="Y185" s="11"/>
      <c r="Z185" s="11"/>
    </row>
    <row r="186" spans="1:26">
      <c r="A186" s="37"/>
      <c r="B186" s="57" t="s">
        <v>336</v>
      </c>
      <c r="C186" s="38" t="s">
        <v>65</v>
      </c>
      <c r="D186" s="39"/>
      <c r="E186" s="39"/>
      <c r="F186" s="49"/>
      <c r="G186" s="49"/>
      <c r="H186" s="49"/>
      <c r="I186" s="49"/>
      <c r="J186" s="49"/>
      <c r="K186" s="39">
        <f>D186+E186</f>
        <v>0</v>
      </c>
      <c r="L186" s="79">
        <f>F186+G186</f>
        <v>0</v>
      </c>
      <c r="M186" s="141"/>
      <c r="N186" s="89">
        <v>500003621</v>
      </c>
      <c r="O186" s="90" t="s">
        <v>337</v>
      </c>
      <c r="P186" s="58"/>
      <c r="Q186" s="104"/>
      <c r="R186" s="97"/>
      <c r="S186" s="11"/>
      <c r="T186" s="11"/>
      <c r="U186" s="11"/>
      <c r="V186" s="11"/>
      <c r="W186" s="11"/>
      <c r="X186" s="11"/>
      <c r="Y186" s="11"/>
      <c r="Z186" s="11"/>
    </row>
    <row r="187" spans="1:26">
      <c r="A187" s="37"/>
      <c r="B187" s="57" t="s">
        <v>338</v>
      </c>
      <c r="C187" s="38" t="s">
        <v>65</v>
      </c>
      <c r="D187" s="39"/>
      <c r="E187" s="39"/>
      <c r="F187" s="49"/>
      <c r="G187" s="49"/>
      <c r="H187" s="49"/>
      <c r="I187" s="49"/>
      <c r="J187" s="49"/>
      <c r="K187" s="39">
        <f>D187+E187</f>
        <v>0</v>
      </c>
      <c r="L187" s="79">
        <f>F187+G187</f>
        <v>0</v>
      </c>
      <c r="M187" s="141"/>
      <c r="N187" s="89">
        <v>500003622</v>
      </c>
      <c r="O187" s="90" t="s">
        <v>339</v>
      </c>
      <c r="P187" s="58"/>
      <c r="Q187" s="104"/>
      <c r="R187" s="97"/>
      <c r="S187" s="11"/>
      <c r="T187" s="11"/>
      <c r="U187" s="11"/>
      <c r="V187" s="11"/>
      <c r="W187" s="11"/>
      <c r="X187" s="11"/>
      <c r="Y187" s="11"/>
      <c r="Z187" s="11"/>
    </row>
    <row r="188" spans="1:26">
      <c r="A188" s="37"/>
      <c r="B188" s="57" t="s">
        <v>340</v>
      </c>
      <c r="C188" s="38" t="s">
        <v>148</v>
      </c>
      <c r="D188" s="39"/>
      <c r="E188" s="277">
        <f>SUM('BoM CLUSTER UG'!C121:L121)</f>
        <v>0</v>
      </c>
      <c r="F188" s="49"/>
      <c r="G188" s="49"/>
      <c r="H188" s="49">
        <f>D188*F188</f>
        <v>0</v>
      </c>
      <c r="I188" s="49">
        <f>E188*G188</f>
        <v>0</v>
      </c>
      <c r="J188" s="49"/>
      <c r="K188" s="39">
        <f t="shared" ref="K188:K205" si="21">D188+E188</f>
        <v>0</v>
      </c>
      <c r="L188" s="79">
        <f t="shared" ref="L188:L205" si="22">F188+G188</f>
        <v>0</v>
      </c>
      <c r="M188" s="141"/>
      <c r="N188" s="89">
        <v>200000977</v>
      </c>
      <c r="O188" s="90" t="s">
        <v>341</v>
      </c>
      <c r="P188" s="58" t="s">
        <v>24</v>
      </c>
      <c r="Q188" s="104"/>
      <c r="R188" s="97"/>
      <c r="S188" s="11"/>
      <c r="T188" s="11"/>
      <c r="U188" s="11"/>
      <c r="V188" s="11"/>
      <c r="W188" s="11"/>
      <c r="X188" s="11"/>
      <c r="Y188" s="11"/>
      <c r="Z188" s="11"/>
    </row>
    <row r="189" spans="1:26">
      <c r="A189" s="37" t="s">
        <v>342</v>
      </c>
      <c r="B189" s="57" t="s">
        <v>343</v>
      </c>
      <c r="C189" s="38" t="s">
        <v>65</v>
      </c>
      <c r="D189" s="39"/>
      <c r="E189" s="39"/>
      <c r="F189" s="49"/>
      <c r="G189" s="49"/>
      <c r="H189" s="49">
        <f t="shared" ref="H189:I205" si="23">D189*F189</f>
        <v>0</v>
      </c>
      <c r="I189" s="49">
        <f t="shared" si="23"/>
        <v>0</v>
      </c>
      <c r="J189" s="49"/>
      <c r="K189" s="39">
        <f t="shared" si="21"/>
        <v>0</v>
      </c>
      <c r="L189" s="79">
        <f t="shared" si="22"/>
        <v>0</v>
      </c>
      <c r="M189" s="141"/>
      <c r="N189" s="89">
        <v>200001034</v>
      </c>
      <c r="O189" s="90" t="s">
        <v>344</v>
      </c>
      <c r="P189" s="58" t="s">
        <v>24</v>
      </c>
      <c r="Q189" s="104"/>
      <c r="R189" s="97"/>
      <c r="S189" s="11"/>
      <c r="T189" s="11"/>
      <c r="U189" s="11"/>
      <c r="V189" s="11"/>
      <c r="W189" s="11"/>
      <c r="X189" s="11"/>
      <c r="Y189" s="11"/>
      <c r="Z189" s="11"/>
    </row>
    <row r="190" spans="1:26">
      <c r="A190" s="37" t="s">
        <v>153</v>
      </c>
      <c r="B190" s="120" t="s">
        <v>345</v>
      </c>
      <c r="C190" s="133" t="s">
        <v>33</v>
      </c>
      <c r="D190" s="39"/>
      <c r="E190" s="39"/>
      <c r="F190" s="49"/>
      <c r="G190" s="49"/>
      <c r="H190" s="49">
        <f t="shared" si="23"/>
        <v>0</v>
      </c>
      <c r="I190" s="49">
        <f t="shared" si="23"/>
        <v>0</v>
      </c>
      <c r="J190" s="49"/>
      <c r="K190" s="39">
        <f t="shared" si="21"/>
        <v>0</v>
      </c>
      <c r="L190" s="79">
        <f t="shared" si="22"/>
        <v>0</v>
      </c>
      <c r="M190" s="141"/>
      <c r="N190" s="37">
        <v>200000181</v>
      </c>
      <c r="O190" s="62" t="s">
        <v>346</v>
      </c>
      <c r="P190" s="58" t="s">
        <v>24</v>
      </c>
      <c r="Q190" s="104"/>
      <c r="R190" s="97"/>
      <c r="S190" s="11"/>
      <c r="T190" s="11"/>
      <c r="U190" s="11"/>
      <c r="V190" s="11"/>
      <c r="W190" s="11"/>
      <c r="X190" s="11"/>
      <c r="Y190" s="11"/>
      <c r="Z190" s="11"/>
    </row>
    <row r="191" spans="1:26">
      <c r="A191" s="37" t="s">
        <v>159</v>
      </c>
      <c r="B191" s="120" t="s">
        <v>347</v>
      </c>
      <c r="C191" s="38" t="s">
        <v>148</v>
      </c>
      <c r="D191" s="39"/>
      <c r="E191" s="39"/>
      <c r="F191" s="49"/>
      <c r="G191" s="49"/>
      <c r="H191" s="49">
        <f t="shared" si="23"/>
        <v>0</v>
      </c>
      <c r="I191" s="49">
        <f t="shared" si="23"/>
        <v>0</v>
      </c>
      <c r="J191" s="49"/>
      <c r="K191" s="39">
        <f t="shared" si="21"/>
        <v>0</v>
      </c>
      <c r="L191" s="79">
        <f t="shared" si="22"/>
        <v>0</v>
      </c>
      <c r="M191" s="141"/>
      <c r="N191" s="37">
        <v>200000160</v>
      </c>
      <c r="O191" s="129" t="s">
        <v>348</v>
      </c>
      <c r="P191" s="58" t="s">
        <v>24</v>
      </c>
      <c r="Q191" s="104"/>
      <c r="R191" s="97"/>
      <c r="S191" s="11"/>
      <c r="T191" s="11"/>
      <c r="U191" s="11"/>
      <c r="V191" s="11"/>
      <c r="W191" s="11"/>
      <c r="X191" s="11"/>
      <c r="Y191" s="11"/>
      <c r="Z191" s="11"/>
    </row>
    <row r="192" spans="1:26">
      <c r="A192" s="37" t="s">
        <v>162</v>
      </c>
      <c r="B192" s="120" t="s">
        <v>349</v>
      </c>
      <c r="C192" s="133" t="s">
        <v>33</v>
      </c>
      <c r="D192" s="39"/>
      <c r="E192" s="39"/>
      <c r="F192" s="49"/>
      <c r="G192" s="49"/>
      <c r="H192" s="49">
        <f t="shared" si="23"/>
        <v>0</v>
      </c>
      <c r="I192" s="49">
        <f t="shared" si="23"/>
        <v>0</v>
      </c>
      <c r="J192" s="49"/>
      <c r="K192" s="39">
        <f t="shared" si="21"/>
        <v>0</v>
      </c>
      <c r="L192" s="79">
        <f t="shared" si="22"/>
        <v>0</v>
      </c>
      <c r="M192" s="141"/>
      <c r="N192" s="37">
        <v>200000310</v>
      </c>
      <c r="O192" s="62" t="s">
        <v>350</v>
      </c>
      <c r="P192" s="58" t="s">
        <v>24</v>
      </c>
      <c r="Q192" s="104"/>
      <c r="R192" s="97"/>
      <c r="S192" s="11"/>
      <c r="T192" s="11"/>
      <c r="U192" s="11"/>
      <c r="V192" s="11"/>
      <c r="W192" s="11"/>
      <c r="X192" s="11"/>
      <c r="Y192" s="11"/>
      <c r="Z192" s="11"/>
    </row>
    <row r="193" spans="1:26">
      <c r="A193" s="37" t="s">
        <v>165</v>
      </c>
      <c r="B193" s="120" t="s">
        <v>351</v>
      </c>
      <c r="C193" s="38" t="s">
        <v>33</v>
      </c>
      <c r="D193" s="39"/>
      <c r="E193" s="39"/>
      <c r="F193" s="49"/>
      <c r="G193" s="49"/>
      <c r="H193" s="49">
        <f t="shared" si="23"/>
        <v>0</v>
      </c>
      <c r="I193" s="49">
        <f t="shared" si="23"/>
        <v>0</v>
      </c>
      <c r="J193" s="49"/>
      <c r="K193" s="39">
        <f t="shared" si="21"/>
        <v>0</v>
      </c>
      <c r="L193" s="79">
        <f t="shared" si="22"/>
        <v>0</v>
      </c>
      <c r="M193" s="141"/>
      <c r="N193" s="89">
        <v>200000995</v>
      </c>
      <c r="O193" s="90" t="s">
        <v>352</v>
      </c>
      <c r="P193" s="58" t="s">
        <v>24</v>
      </c>
      <c r="Q193" s="104"/>
      <c r="R193" s="97"/>
      <c r="S193" s="11"/>
      <c r="T193" s="11"/>
      <c r="U193" s="11"/>
      <c r="V193" s="11"/>
      <c r="W193" s="11"/>
      <c r="X193" s="11"/>
      <c r="Y193" s="11"/>
      <c r="Z193" s="11"/>
    </row>
    <row r="194" spans="1:26">
      <c r="A194" s="37" t="s">
        <v>168</v>
      </c>
      <c r="B194" s="120" t="s">
        <v>353</v>
      </c>
      <c r="C194" s="38" t="s">
        <v>148</v>
      </c>
      <c r="D194" s="39"/>
      <c r="E194" s="39"/>
      <c r="F194" s="49"/>
      <c r="G194" s="49"/>
      <c r="H194" s="49">
        <f t="shared" si="23"/>
        <v>0</v>
      </c>
      <c r="I194" s="49">
        <f t="shared" si="23"/>
        <v>0</v>
      </c>
      <c r="J194" s="49"/>
      <c r="K194" s="39">
        <f t="shared" si="21"/>
        <v>0</v>
      </c>
      <c r="L194" s="79">
        <f t="shared" si="22"/>
        <v>0</v>
      </c>
      <c r="M194" s="141"/>
      <c r="N194" s="37">
        <v>500000993</v>
      </c>
      <c r="O194" s="62" t="s">
        <v>354</v>
      </c>
      <c r="P194" s="58" t="s">
        <v>21</v>
      </c>
      <c r="Q194" s="104"/>
      <c r="R194" s="97"/>
      <c r="S194" s="11"/>
      <c r="T194" s="11"/>
      <c r="U194" s="11"/>
      <c r="V194" s="11"/>
      <c r="W194" s="11"/>
      <c r="X194" s="11"/>
      <c r="Y194" s="11"/>
      <c r="Z194" s="11"/>
    </row>
    <row r="195" spans="1:26">
      <c r="A195" s="37" t="s">
        <v>171</v>
      </c>
      <c r="B195" s="120" t="s">
        <v>355</v>
      </c>
      <c r="C195" s="38" t="s">
        <v>148</v>
      </c>
      <c r="D195" s="39"/>
      <c r="E195" s="39"/>
      <c r="F195" s="49"/>
      <c r="G195" s="49"/>
      <c r="H195" s="49">
        <f t="shared" si="23"/>
        <v>0</v>
      </c>
      <c r="I195" s="49">
        <f t="shared" si="23"/>
        <v>0</v>
      </c>
      <c r="J195" s="49"/>
      <c r="K195" s="39">
        <f t="shared" si="21"/>
        <v>0</v>
      </c>
      <c r="L195" s="79">
        <f t="shared" si="22"/>
        <v>0</v>
      </c>
      <c r="M195" s="141"/>
      <c r="N195" s="89">
        <v>500002067</v>
      </c>
      <c r="O195" s="90" t="s">
        <v>356</v>
      </c>
      <c r="P195" s="58" t="s">
        <v>21</v>
      </c>
      <c r="Q195" s="104"/>
      <c r="R195" s="97"/>
      <c r="S195" s="11"/>
      <c r="T195" s="11"/>
      <c r="U195" s="11"/>
      <c r="V195" s="11"/>
      <c r="W195" s="11"/>
      <c r="X195" s="11"/>
      <c r="Y195" s="11"/>
      <c r="Z195" s="11"/>
    </row>
    <row r="196" spans="1:26">
      <c r="A196" s="37" t="s">
        <v>174</v>
      </c>
      <c r="B196" s="134" t="s">
        <v>357</v>
      </c>
      <c r="C196" s="38" t="s">
        <v>65</v>
      </c>
      <c r="D196" s="39"/>
      <c r="E196" s="39"/>
      <c r="F196" s="49"/>
      <c r="G196" s="49"/>
      <c r="H196" s="49">
        <f t="shared" si="23"/>
        <v>0</v>
      </c>
      <c r="I196" s="49">
        <f t="shared" si="23"/>
        <v>0</v>
      </c>
      <c r="J196" s="49"/>
      <c r="K196" s="39">
        <f t="shared" si="21"/>
        <v>0</v>
      </c>
      <c r="L196" s="79">
        <f t="shared" si="22"/>
        <v>0</v>
      </c>
      <c r="M196" s="141"/>
      <c r="N196" s="37">
        <v>500002103</v>
      </c>
      <c r="O196" s="90" t="s">
        <v>358</v>
      </c>
      <c r="P196" s="58" t="s">
        <v>21</v>
      </c>
      <c r="Q196" s="104"/>
      <c r="R196" s="97"/>
      <c r="S196" s="11"/>
      <c r="T196" s="11"/>
      <c r="U196" s="11"/>
      <c r="V196" s="11"/>
      <c r="W196" s="11"/>
      <c r="X196" s="11"/>
      <c r="Y196" s="11"/>
      <c r="Z196" s="11"/>
    </row>
    <row r="197" spans="1:26">
      <c r="A197" s="37" t="s">
        <v>359</v>
      </c>
      <c r="B197" s="134" t="s">
        <v>360</v>
      </c>
      <c r="C197" s="135" t="s">
        <v>33</v>
      </c>
      <c r="D197" s="39"/>
      <c r="E197" s="39"/>
      <c r="F197" s="49"/>
      <c r="G197" s="49"/>
      <c r="H197" s="49">
        <f t="shared" si="23"/>
        <v>0</v>
      </c>
      <c r="I197" s="49">
        <f t="shared" si="23"/>
        <v>0</v>
      </c>
      <c r="J197" s="49"/>
      <c r="K197" s="39">
        <f t="shared" si="21"/>
        <v>0</v>
      </c>
      <c r="L197" s="79">
        <f t="shared" si="22"/>
        <v>0</v>
      </c>
      <c r="M197" s="141" t="s">
        <v>361</v>
      </c>
      <c r="N197" s="37">
        <v>500002148</v>
      </c>
      <c r="O197" s="80" t="s">
        <v>362</v>
      </c>
      <c r="P197" s="58" t="s">
        <v>21</v>
      </c>
      <c r="Q197" s="104"/>
      <c r="R197" s="97"/>
      <c r="S197" s="11"/>
      <c r="T197" s="11"/>
      <c r="U197" s="11"/>
      <c r="V197" s="11"/>
      <c r="W197" s="11"/>
      <c r="X197" s="11"/>
      <c r="Y197" s="11"/>
      <c r="Z197" s="11"/>
    </row>
    <row r="198" spans="1:26">
      <c r="A198" s="37" t="s">
        <v>363</v>
      </c>
      <c r="B198" s="134" t="s">
        <v>364</v>
      </c>
      <c r="C198" s="135" t="s">
        <v>33</v>
      </c>
      <c r="D198" s="39"/>
      <c r="E198" s="39"/>
      <c r="F198" s="49"/>
      <c r="G198" s="49"/>
      <c r="H198" s="49">
        <f t="shared" si="23"/>
        <v>0</v>
      </c>
      <c r="I198" s="49">
        <f t="shared" si="23"/>
        <v>0</v>
      </c>
      <c r="J198" s="49"/>
      <c r="K198" s="39">
        <f t="shared" si="21"/>
        <v>0</v>
      </c>
      <c r="L198" s="79">
        <f t="shared" si="22"/>
        <v>0</v>
      </c>
      <c r="M198" s="141" t="s">
        <v>365</v>
      </c>
      <c r="N198" s="37">
        <v>500002149</v>
      </c>
      <c r="O198" s="80" t="s">
        <v>362</v>
      </c>
      <c r="P198" s="58" t="s">
        <v>21</v>
      </c>
      <c r="Q198" s="104"/>
      <c r="R198" s="97"/>
      <c r="S198" s="11"/>
      <c r="T198" s="11"/>
      <c r="U198" s="11"/>
      <c r="V198" s="11"/>
      <c r="W198" s="11"/>
      <c r="X198" s="11"/>
      <c r="Y198" s="11"/>
      <c r="Z198" s="11"/>
    </row>
    <row r="199" spans="1:26">
      <c r="A199" s="37" t="s">
        <v>366</v>
      </c>
      <c r="B199" s="134" t="s">
        <v>367</v>
      </c>
      <c r="C199" s="135" t="s">
        <v>33</v>
      </c>
      <c r="D199" s="39"/>
      <c r="E199" s="39"/>
      <c r="F199" s="49"/>
      <c r="G199" s="49"/>
      <c r="H199" s="49">
        <f t="shared" si="23"/>
        <v>0</v>
      </c>
      <c r="I199" s="49">
        <f t="shared" si="23"/>
        <v>0</v>
      </c>
      <c r="J199" s="49"/>
      <c r="K199" s="39">
        <f t="shared" si="21"/>
        <v>0</v>
      </c>
      <c r="L199" s="79">
        <f t="shared" si="22"/>
        <v>0</v>
      </c>
      <c r="M199" s="141" t="s">
        <v>368</v>
      </c>
      <c r="N199" s="37">
        <v>500002150</v>
      </c>
      <c r="O199" s="80" t="s">
        <v>369</v>
      </c>
      <c r="P199" s="58" t="s">
        <v>21</v>
      </c>
      <c r="Q199" s="104"/>
      <c r="R199" s="97"/>
      <c r="S199" s="11"/>
      <c r="T199" s="11"/>
      <c r="U199" s="11"/>
      <c r="V199" s="11"/>
      <c r="W199" s="11"/>
      <c r="X199" s="11"/>
      <c r="Y199" s="11"/>
      <c r="Z199" s="11"/>
    </row>
    <row r="200" spans="1:26">
      <c r="A200" s="37" t="s">
        <v>370</v>
      </c>
      <c r="B200" s="134" t="s">
        <v>371</v>
      </c>
      <c r="C200" s="135" t="s">
        <v>33</v>
      </c>
      <c r="D200" s="39"/>
      <c r="E200" s="39"/>
      <c r="F200" s="49"/>
      <c r="G200" s="49"/>
      <c r="H200" s="49">
        <f t="shared" si="23"/>
        <v>0</v>
      </c>
      <c r="I200" s="49">
        <f t="shared" si="23"/>
        <v>0</v>
      </c>
      <c r="J200" s="49"/>
      <c r="K200" s="39">
        <f t="shared" si="21"/>
        <v>0</v>
      </c>
      <c r="L200" s="79">
        <f t="shared" si="22"/>
        <v>0</v>
      </c>
      <c r="M200" s="141" t="s">
        <v>372</v>
      </c>
      <c r="N200" s="37">
        <v>500002151</v>
      </c>
      <c r="O200" s="80" t="s">
        <v>362</v>
      </c>
      <c r="P200" s="58" t="s">
        <v>21</v>
      </c>
      <c r="Q200" s="104"/>
      <c r="R200" s="97"/>
      <c r="S200" s="11"/>
      <c r="T200" s="11"/>
      <c r="U200" s="11"/>
      <c r="V200" s="11"/>
      <c r="W200" s="11"/>
      <c r="X200" s="11"/>
      <c r="Y200" s="11"/>
      <c r="Z200" s="11"/>
    </row>
    <row r="201" spans="1:26">
      <c r="A201" s="37" t="s">
        <v>150</v>
      </c>
      <c r="B201" s="134" t="s">
        <v>373</v>
      </c>
      <c r="C201" s="135" t="s">
        <v>33</v>
      </c>
      <c r="D201" s="39"/>
      <c r="E201" s="39"/>
      <c r="F201" s="49"/>
      <c r="G201" s="49"/>
      <c r="H201" s="49">
        <f t="shared" si="23"/>
        <v>0</v>
      </c>
      <c r="I201" s="49">
        <f t="shared" si="23"/>
        <v>0</v>
      </c>
      <c r="J201" s="49"/>
      <c r="K201" s="39">
        <f t="shared" si="21"/>
        <v>0</v>
      </c>
      <c r="L201" s="79">
        <f t="shared" si="22"/>
        <v>0</v>
      </c>
      <c r="M201" s="141" t="s">
        <v>374</v>
      </c>
      <c r="N201" s="37">
        <v>500002152</v>
      </c>
      <c r="O201" s="80" t="s">
        <v>369</v>
      </c>
      <c r="P201" s="58" t="s">
        <v>21</v>
      </c>
      <c r="Q201" s="104"/>
      <c r="R201" s="97"/>
      <c r="S201" s="11"/>
      <c r="T201" s="11"/>
      <c r="U201" s="11"/>
      <c r="V201" s="11"/>
      <c r="W201" s="11"/>
      <c r="X201" s="11"/>
      <c r="Y201" s="11"/>
      <c r="Z201" s="11"/>
    </row>
    <row r="202" spans="1:26">
      <c r="A202" s="37" t="s">
        <v>375</v>
      </c>
      <c r="B202" s="134" t="s">
        <v>376</v>
      </c>
      <c r="C202" s="135" t="s">
        <v>33</v>
      </c>
      <c r="D202" s="39"/>
      <c r="E202" s="39"/>
      <c r="F202" s="49"/>
      <c r="G202" s="49"/>
      <c r="H202" s="49">
        <f t="shared" si="23"/>
        <v>0</v>
      </c>
      <c r="I202" s="49">
        <f t="shared" si="23"/>
        <v>0</v>
      </c>
      <c r="J202" s="49"/>
      <c r="K202" s="39">
        <f t="shared" si="21"/>
        <v>0</v>
      </c>
      <c r="L202" s="79">
        <f t="shared" si="22"/>
        <v>0</v>
      </c>
      <c r="M202" s="141" t="s">
        <v>377</v>
      </c>
      <c r="N202" s="37">
        <v>500002153</v>
      </c>
      <c r="O202" s="80" t="s">
        <v>369</v>
      </c>
      <c r="P202" s="58" t="s">
        <v>21</v>
      </c>
      <c r="Q202" s="104"/>
      <c r="R202" s="97"/>
      <c r="S202" s="11"/>
      <c r="T202" s="11"/>
      <c r="U202" s="11"/>
      <c r="V202" s="11"/>
      <c r="W202" s="11"/>
      <c r="X202" s="11"/>
      <c r="Y202" s="11"/>
      <c r="Z202" s="11"/>
    </row>
    <row r="203" spans="1:26">
      <c r="A203" s="37" t="s">
        <v>378</v>
      </c>
      <c r="B203" s="134" t="s">
        <v>379</v>
      </c>
      <c r="C203" s="135" t="s">
        <v>33</v>
      </c>
      <c r="D203" s="39"/>
      <c r="E203" s="39"/>
      <c r="F203" s="49"/>
      <c r="G203" s="49"/>
      <c r="H203" s="49">
        <f t="shared" si="23"/>
        <v>0</v>
      </c>
      <c r="I203" s="49">
        <f t="shared" si="23"/>
        <v>0</v>
      </c>
      <c r="J203" s="49"/>
      <c r="K203" s="39">
        <f t="shared" si="21"/>
        <v>0</v>
      </c>
      <c r="L203" s="79">
        <f t="shared" si="22"/>
        <v>0</v>
      </c>
      <c r="M203" s="141" t="s">
        <v>380</v>
      </c>
      <c r="N203" s="37">
        <v>500002154</v>
      </c>
      <c r="O203" s="80" t="s">
        <v>369</v>
      </c>
      <c r="P203" s="58" t="s">
        <v>21</v>
      </c>
      <c r="Q203" s="104"/>
      <c r="R203" s="97"/>
      <c r="S203" s="11"/>
      <c r="T203" s="11"/>
      <c r="U203" s="11"/>
      <c r="V203" s="11"/>
      <c r="W203" s="11"/>
      <c r="X203" s="11"/>
      <c r="Y203" s="11"/>
      <c r="Z203" s="11"/>
    </row>
    <row r="204" spans="1:26">
      <c r="A204" s="37" t="s">
        <v>381</v>
      </c>
      <c r="B204" s="134" t="s">
        <v>382</v>
      </c>
      <c r="C204" s="135" t="s">
        <v>33</v>
      </c>
      <c r="D204" s="39"/>
      <c r="E204" s="39"/>
      <c r="F204" s="236"/>
      <c r="G204" s="297"/>
      <c r="H204" s="236">
        <f t="shared" si="23"/>
        <v>0</v>
      </c>
      <c r="I204" s="236">
        <f t="shared" si="23"/>
        <v>0</v>
      </c>
      <c r="J204" s="236"/>
      <c r="K204" s="39">
        <f t="shared" si="21"/>
        <v>0</v>
      </c>
      <c r="L204" s="79">
        <f t="shared" si="22"/>
        <v>0</v>
      </c>
      <c r="M204" s="64">
        <v>500002155</v>
      </c>
      <c r="N204" s="37">
        <v>500002155</v>
      </c>
      <c r="O204" s="80" t="s">
        <v>369</v>
      </c>
      <c r="P204" s="58" t="s">
        <v>21</v>
      </c>
      <c r="Q204" s="104"/>
      <c r="R204" s="97"/>
      <c r="S204" s="11"/>
      <c r="T204" s="11"/>
      <c r="U204" s="11"/>
      <c r="V204" s="11"/>
      <c r="W204" s="11"/>
      <c r="X204" s="11"/>
      <c r="Y204" s="11"/>
      <c r="Z204" s="11"/>
    </row>
    <row r="205" spans="1:26">
      <c r="A205" s="37" t="s">
        <v>383</v>
      </c>
      <c r="B205" s="134" t="s">
        <v>384</v>
      </c>
      <c r="C205" s="135" t="s">
        <v>33</v>
      </c>
      <c r="D205" s="39"/>
      <c r="E205" s="39"/>
      <c r="F205" s="49"/>
      <c r="G205" s="49"/>
      <c r="H205" s="49">
        <f t="shared" si="23"/>
        <v>0</v>
      </c>
      <c r="I205" s="49">
        <f t="shared" si="23"/>
        <v>0</v>
      </c>
      <c r="J205" s="49"/>
      <c r="K205" s="39">
        <f t="shared" si="21"/>
        <v>0</v>
      </c>
      <c r="L205" s="79">
        <f t="shared" si="22"/>
        <v>0</v>
      </c>
      <c r="M205" s="141" t="s">
        <v>385</v>
      </c>
      <c r="N205" s="37">
        <v>500002156</v>
      </c>
      <c r="O205" s="80" t="s">
        <v>362</v>
      </c>
      <c r="P205" s="58" t="s">
        <v>21</v>
      </c>
      <c r="Q205" s="104"/>
      <c r="R205" s="97"/>
      <c r="S205" s="11"/>
      <c r="T205" s="11"/>
      <c r="U205" s="11"/>
      <c r="V205" s="11"/>
      <c r="W205" s="11"/>
      <c r="X205" s="11"/>
      <c r="Y205" s="11"/>
      <c r="Z205" s="11"/>
    </row>
    <row r="206" spans="1:26" s="10" customFormat="1">
      <c r="A206" s="113" t="s">
        <v>386</v>
      </c>
      <c r="B206" s="114"/>
      <c r="C206" s="114"/>
      <c r="D206" s="45"/>
      <c r="E206" s="45"/>
      <c r="F206" s="44"/>
      <c r="G206" s="44"/>
      <c r="H206" s="45">
        <f>SUM(H109:H205)</f>
        <v>0</v>
      </c>
      <c r="I206" s="45" t="e">
        <f>SUM(I109:I205)</f>
        <v>#REF!</v>
      </c>
      <c r="J206" s="45" t="e">
        <f>H206+I206</f>
        <v>#REF!</v>
      </c>
      <c r="K206" s="45"/>
      <c r="L206" s="45"/>
      <c r="M206" s="45" t="e">
        <f>I206</f>
        <v>#REF!</v>
      </c>
      <c r="N206" s="123"/>
      <c r="O206" s="123"/>
      <c r="P206" s="45"/>
      <c r="Q206" s="105"/>
      <c r="R206" s="106"/>
      <c r="S206" s="16"/>
      <c r="T206" s="16"/>
      <c r="U206" s="16"/>
      <c r="V206" s="16"/>
      <c r="W206" s="16"/>
      <c r="X206" s="16"/>
      <c r="Y206" s="16"/>
      <c r="Z206" s="16"/>
    </row>
    <row r="207" spans="1:26">
      <c r="A207" s="29"/>
      <c r="B207" s="136"/>
      <c r="C207" s="137"/>
      <c r="D207" s="188"/>
      <c r="E207" s="188"/>
      <c r="F207" s="49"/>
      <c r="G207" s="49"/>
      <c r="H207" s="138"/>
      <c r="I207" s="138"/>
      <c r="J207" s="138"/>
      <c r="K207" s="138"/>
      <c r="L207" s="138"/>
      <c r="M207" s="138"/>
      <c r="N207" s="142"/>
      <c r="O207" s="142"/>
      <c r="P207" s="143"/>
      <c r="Q207" s="105"/>
      <c r="R207" s="106"/>
    </row>
    <row r="208" spans="1:26" s="9" customFormat="1">
      <c r="A208" s="32">
        <v>2.2999999999999998</v>
      </c>
      <c r="B208" s="119" t="s">
        <v>387</v>
      </c>
      <c r="C208" s="34"/>
      <c r="D208" s="35"/>
      <c r="E208" s="35"/>
      <c r="F208" s="34"/>
      <c r="G208" s="34"/>
      <c r="H208" s="34"/>
      <c r="I208" s="34"/>
      <c r="J208" s="78"/>
      <c r="K208" s="34"/>
      <c r="L208" s="34"/>
      <c r="M208" s="36"/>
      <c r="N208" s="78"/>
      <c r="O208" s="78"/>
      <c r="P208" s="36"/>
      <c r="Q208" s="104"/>
      <c r="R208" s="97"/>
      <c r="S208" s="16"/>
      <c r="T208" s="16"/>
      <c r="U208" s="16"/>
      <c r="V208" s="16"/>
      <c r="W208" s="16"/>
      <c r="X208" s="16"/>
      <c r="Y208" s="16"/>
      <c r="Z208" s="16"/>
    </row>
    <row r="209" spans="1:26">
      <c r="A209" s="64" t="s">
        <v>30</v>
      </c>
      <c r="B209" s="57" t="s">
        <v>388</v>
      </c>
      <c r="C209" s="65" t="s">
        <v>65</v>
      </c>
      <c r="D209" s="241">
        <f>--(IF(T$5="TURNKEY",E210))</f>
        <v>0</v>
      </c>
      <c r="E209" s="79"/>
      <c r="F209" s="40"/>
      <c r="G209" s="59"/>
      <c r="H209" s="139">
        <f>D209*F209</f>
        <v>0</v>
      </c>
      <c r="I209" s="139">
        <f>G209*G209</f>
        <v>0</v>
      </c>
      <c r="J209" s="144"/>
      <c r="K209" s="79">
        <f>D209+E209</f>
        <v>0</v>
      </c>
      <c r="L209" s="79">
        <f>F209+G209</f>
        <v>0</v>
      </c>
      <c r="M209" s="141"/>
      <c r="N209" s="64">
        <v>200000187</v>
      </c>
      <c r="O209" s="127" t="s">
        <v>389</v>
      </c>
      <c r="P209" s="58" t="s">
        <v>24</v>
      </c>
      <c r="Q209" s="104"/>
      <c r="R209" s="97"/>
    </row>
    <row r="210" spans="1:26">
      <c r="A210" s="64"/>
      <c r="B210" s="57" t="s">
        <v>390</v>
      </c>
      <c r="C210" s="65" t="s">
        <v>65</v>
      </c>
      <c r="D210" s="79"/>
      <c r="E210" s="242">
        <f>SUM('BoM CLUSTER UG'!C74:L74)</f>
        <v>0</v>
      </c>
      <c r="F210" s="59"/>
      <c r="G210" s="40"/>
      <c r="H210" s="139">
        <f>F210*F210</f>
        <v>0</v>
      </c>
      <c r="I210" s="139">
        <f>G210*E210</f>
        <v>0</v>
      </c>
      <c r="J210" s="144"/>
      <c r="K210" s="79">
        <f t="shared" ref="K210:K231" si="24">D210+E210</f>
        <v>0</v>
      </c>
      <c r="L210" s="79">
        <f t="shared" ref="L210:L231" si="25">F210+G210</f>
        <v>0</v>
      </c>
      <c r="M210" s="128">
        <v>500002157</v>
      </c>
      <c r="N210" s="128">
        <v>500002157</v>
      </c>
      <c r="O210" s="127" t="s">
        <v>391</v>
      </c>
      <c r="P210" s="58" t="s">
        <v>21</v>
      </c>
      <c r="Q210" s="104"/>
      <c r="R210" s="97"/>
    </row>
    <row r="211" spans="1:26">
      <c r="A211" s="64" t="s">
        <v>62</v>
      </c>
      <c r="B211" s="57" t="s">
        <v>392</v>
      </c>
      <c r="C211" s="65" t="s">
        <v>65</v>
      </c>
      <c r="D211" s="241">
        <f>--(IF(T$5="TURNKEY",E212))</f>
        <v>0</v>
      </c>
      <c r="E211" s="79"/>
      <c r="F211" s="40"/>
      <c r="G211" s="59"/>
      <c r="H211" s="139">
        <f t="shared" ref="H211:I231" si="26">D211*F211</f>
        <v>0</v>
      </c>
      <c r="I211" s="139">
        <f t="shared" si="26"/>
        <v>0</v>
      </c>
      <c r="J211" s="144"/>
      <c r="K211" s="79">
        <f t="shared" si="24"/>
        <v>0</v>
      </c>
      <c r="L211" s="79">
        <f t="shared" si="25"/>
        <v>0</v>
      </c>
      <c r="M211" s="141"/>
      <c r="N211" s="64">
        <v>200000169</v>
      </c>
      <c r="O211" s="127" t="s">
        <v>393</v>
      </c>
      <c r="P211" s="58" t="s">
        <v>24</v>
      </c>
      <c r="Q211" s="104"/>
      <c r="R211" s="97"/>
    </row>
    <row r="212" spans="1:26">
      <c r="A212" s="64"/>
      <c r="B212" s="57" t="s">
        <v>394</v>
      </c>
      <c r="C212" s="65" t="s">
        <v>65</v>
      </c>
      <c r="D212" s="79"/>
      <c r="E212" s="242">
        <f>SUM('BoM CLUSTER UG'!C78:L78)</f>
        <v>0</v>
      </c>
      <c r="F212" s="59"/>
      <c r="G212" s="40"/>
      <c r="H212" s="139">
        <f t="shared" si="26"/>
        <v>0</v>
      </c>
      <c r="I212" s="139">
        <f t="shared" si="26"/>
        <v>0</v>
      </c>
      <c r="J212" s="144"/>
      <c r="K212" s="79">
        <f t="shared" si="24"/>
        <v>0</v>
      </c>
      <c r="L212" s="79">
        <f t="shared" si="25"/>
        <v>0</v>
      </c>
      <c r="M212" s="141"/>
      <c r="N212" s="89">
        <v>500001293</v>
      </c>
      <c r="O212" s="127" t="s">
        <v>395</v>
      </c>
      <c r="P212" s="58" t="s">
        <v>21</v>
      </c>
      <c r="Q212" s="104"/>
      <c r="R212" s="97"/>
    </row>
    <row r="213" spans="1:26">
      <c r="A213" s="64" t="s">
        <v>89</v>
      </c>
      <c r="B213" s="57" t="s">
        <v>396</v>
      </c>
      <c r="C213" s="65" t="s">
        <v>65</v>
      </c>
      <c r="D213" s="241">
        <f>--(IF(T$5="TURNKEY",E214))</f>
        <v>0</v>
      </c>
      <c r="E213" s="79"/>
      <c r="F213" s="59"/>
      <c r="G213" s="59"/>
      <c r="H213" s="139">
        <f t="shared" si="26"/>
        <v>0</v>
      </c>
      <c r="I213" s="139">
        <f t="shared" si="26"/>
        <v>0</v>
      </c>
      <c r="J213" s="144"/>
      <c r="K213" s="79">
        <f t="shared" si="24"/>
        <v>0</v>
      </c>
      <c r="L213" s="79">
        <f t="shared" si="25"/>
        <v>0</v>
      </c>
      <c r="M213" s="57"/>
      <c r="N213" s="64">
        <v>200001183</v>
      </c>
      <c r="O213" s="127" t="s">
        <v>389</v>
      </c>
      <c r="P213" s="58" t="s">
        <v>24</v>
      </c>
      <c r="Q213" s="104"/>
      <c r="R213" s="97"/>
    </row>
    <row r="214" spans="1:26">
      <c r="A214" s="64"/>
      <c r="B214" s="57" t="s">
        <v>397</v>
      </c>
      <c r="C214" s="65" t="s">
        <v>65</v>
      </c>
      <c r="D214" s="79"/>
      <c r="E214" s="242">
        <f>SUM('BoM CLUSTER UG'!C75:L75)</f>
        <v>0</v>
      </c>
      <c r="F214" s="59"/>
      <c r="G214" s="59"/>
      <c r="H214" s="139">
        <f t="shared" si="26"/>
        <v>0</v>
      </c>
      <c r="I214" s="139">
        <f t="shared" si="26"/>
        <v>0</v>
      </c>
      <c r="J214" s="144"/>
      <c r="K214" s="79">
        <f t="shared" si="24"/>
        <v>0</v>
      </c>
      <c r="L214" s="79">
        <f t="shared" si="25"/>
        <v>0</v>
      </c>
      <c r="M214" s="128">
        <v>500002480</v>
      </c>
      <c r="N214" s="128">
        <v>500002480</v>
      </c>
      <c r="O214" s="127" t="s">
        <v>391</v>
      </c>
      <c r="P214" s="58" t="s">
        <v>21</v>
      </c>
      <c r="Q214" s="104"/>
      <c r="R214" s="97"/>
    </row>
    <row r="215" spans="1:26">
      <c r="A215" s="64" t="s">
        <v>96</v>
      </c>
      <c r="B215" s="57" t="s">
        <v>398</v>
      </c>
      <c r="C215" s="65" t="s">
        <v>65</v>
      </c>
      <c r="D215" s="241">
        <f>--(IF(T$5="TURNKEY",E216))</f>
        <v>0</v>
      </c>
      <c r="E215" s="79"/>
      <c r="F215" s="40"/>
      <c r="G215" s="59"/>
      <c r="H215" s="139">
        <f t="shared" si="26"/>
        <v>0</v>
      </c>
      <c r="I215" s="139">
        <f t="shared" si="26"/>
        <v>0</v>
      </c>
      <c r="J215" s="144"/>
      <c r="K215" s="79">
        <f t="shared" si="24"/>
        <v>0</v>
      </c>
      <c r="L215" s="79">
        <f t="shared" si="25"/>
        <v>0</v>
      </c>
      <c r="M215" s="141"/>
      <c r="N215" s="64">
        <v>200001181</v>
      </c>
      <c r="O215" s="127" t="s">
        <v>393</v>
      </c>
      <c r="P215" s="58" t="s">
        <v>24</v>
      </c>
      <c r="Q215" s="104"/>
      <c r="R215" s="97"/>
    </row>
    <row r="216" spans="1:26">
      <c r="A216" s="64"/>
      <c r="B216" s="57" t="s">
        <v>399</v>
      </c>
      <c r="C216" s="65" t="s">
        <v>65</v>
      </c>
      <c r="D216" s="79"/>
      <c r="E216" s="242">
        <f>SUM('BoM CLUSTER UG'!C79:L79)</f>
        <v>0</v>
      </c>
      <c r="F216" s="59"/>
      <c r="G216" s="40"/>
      <c r="H216" s="139">
        <f t="shared" si="26"/>
        <v>0</v>
      </c>
      <c r="I216" s="139">
        <f t="shared" si="26"/>
        <v>0</v>
      </c>
      <c r="J216" s="144"/>
      <c r="K216" s="79">
        <f t="shared" si="24"/>
        <v>0</v>
      </c>
      <c r="L216" s="79">
        <f t="shared" si="25"/>
        <v>0</v>
      </c>
      <c r="M216" s="141"/>
      <c r="N216" s="89">
        <v>500002337</v>
      </c>
      <c r="O216" s="127" t="s">
        <v>395</v>
      </c>
      <c r="P216" s="58" t="s">
        <v>21</v>
      </c>
      <c r="Q216" s="104"/>
      <c r="R216" s="97"/>
    </row>
    <row r="217" spans="1:26">
      <c r="A217" s="64" t="s">
        <v>102</v>
      </c>
      <c r="B217" s="57" t="s">
        <v>400</v>
      </c>
      <c r="C217" s="65" t="s">
        <v>65</v>
      </c>
      <c r="D217" s="241">
        <f>--(IF(T$5="TURNKEY",E218))</f>
        <v>0</v>
      </c>
      <c r="E217" s="79"/>
      <c r="F217" s="40"/>
      <c r="G217" s="59"/>
      <c r="H217" s="139">
        <f t="shared" si="26"/>
        <v>0</v>
      </c>
      <c r="I217" s="139">
        <f t="shared" si="26"/>
        <v>0</v>
      </c>
      <c r="J217" s="144"/>
      <c r="K217" s="79">
        <f t="shared" si="24"/>
        <v>0</v>
      </c>
      <c r="L217" s="79">
        <f t="shared" si="25"/>
        <v>0</v>
      </c>
      <c r="M217" s="128">
        <v>200001055</v>
      </c>
      <c r="N217" s="128">
        <v>200001055</v>
      </c>
      <c r="O217" s="127" t="s">
        <v>389</v>
      </c>
      <c r="P217" s="141" t="s">
        <v>24</v>
      </c>
      <c r="Q217" s="104"/>
      <c r="R217" s="97"/>
    </row>
    <row r="218" spans="1:26">
      <c r="A218" s="64"/>
      <c r="B218" s="57" t="s">
        <v>401</v>
      </c>
      <c r="C218" s="65" t="s">
        <v>65</v>
      </c>
      <c r="D218" s="79"/>
      <c r="E218" s="242">
        <f>SUM('BoM CLUSTER UG'!C76:L76)</f>
        <v>0</v>
      </c>
      <c r="F218" s="59"/>
      <c r="G218" s="40"/>
      <c r="H218" s="139">
        <f t="shared" si="26"/>
        <v>0</v>
      </c>
      <c r="I218" s="139">
        <f t="shared" si="26"/>
        <v>0</v>
      </c>
      <c r="J218" s="144"/>
      <c r="K218" s="79">
        <f t="shared" si="24"/>
        <v>0</v>
      </c>
      <c r="L218" s="79">
        <f t="shared" si="25"/>
        <v>0</v>
      </c>
      <c r="M218" s="93">
        <v>500002159</v>
      </c>
      <c r="N218" s="93">
        <v>500002159</v>
      </c>
      <c r="O218" s="127" t="s">
        <v>391</v>
      </c>
      <c r="P218" s="141" t="s">
        <v>21</v>
      </c>
      <c r="Q218" s="104"/>
      <c r="R218" s="97"/>
    </row>
    <row r="219" spans="1:26">
      <c r="A219" s="64"/>
      <c r="B219" s="252" t="s">
        <v>701</v>
      </c>
      <c r="C219" s="253" t="s">
        <v>92</v>
      </c>
      <c r="D219" s="241">
        <f>--(IF(T$5="TURNKEY",E220))</f>
        <v>0</v>
      </c>
      <c r="E219" s="258"/>
      <c r="F219" s="59"/>
      <c r="G219" s="40"/>
      <c r="H219" s="139"/>
      <c r="I219" s="139"/>
      <c r="J219" s="144"/>
      <c r="K219" s="79"/>
      <c r="L219" s="79"/>
      <c r="M219" s="93"/>
      <c r="N219" s="253">
        <v>200002675</v>
      </c>
      <c r="O219" s="257" t="s">
        <v>703</v>
      </c>
      <c r="P219" s="254" t="s">
        <v>24</v>
      </c>
      <c r="Q219" s="104"/>
      <c r="R219" s="97"/>
    </row>
    <row r="220" spans="1:26">
      <c r="A220" s="64"/>
      <c r="B220" s="252" t="s">
        <v>702</v>
      </c>
      <c r="C220" s="253" t="s">
        <v>92</v>
      </c>
      <c r="D220" s="79"/>
      <c r="E220" s="242">
        <f>SUM('BoM CLUSTER UG'!C77:L77)</f>
        <v>0</v>
      </c>
      <c r="F220" s="59"/>
      <c r="G220" s="40"/>
      <c r="H220" s="139"/>
      <c r="I220" s="139"/>
      <c r="J220" s="144"/>
      <c r="K220" s="79"/>
      <c r="L220" s="79"/>
      <c r="M220" s="93"/>
      <c r="N220" s="253">
        <v>500004729</v>
      </c>
      <c r="O220" s="257" t="s">
        <v>704</v>
      </c>
      <c r="P220" s="254" t="s">
        <v>21</v>
      </c>
      <c r="Q220" s="104"/>
      <c r="R220" s="97"/>
    </row>
    <row r="221" spans="1:26">
      <c r="A221" s="64" t="s">
        <v>110</v>
      </c>
      <c r="B221" s="57" t="s">
        <v>402</v>
      </c>
      <c r="C221" s="65"/>
      <c r="D221" s="79"/>
      <c r="E221" s="79"/>
      <c r="F221" s="59"/>
      <c r="G221" s="59"/>
      <c r="H221" s="139">
        <f t="shared" si="26"/>
        <v>0</v>
      </c>
      <c r="I221" s="139">
        <f t="shared" si="26"/>
        <v>0</v>
      </c>
      <c r="J221" s="144"/>
      <c r="K221" s="79">
        <f t="shared" si="24"/>
        <v>0</v>
      </c>
      <c r="L221" s="79">
        <f t="shared" si="25"/>
        <v>0</v>
      </c>
      <c r="M221" s="141"/>
      <c r="N221" s="64"/>
      <c r="O221" s="64"/>
      <c r="P221" s="141"/>
      <c r="Q221" s="104"/>
      <c r="R221" s="97"/>
    </row>
    <row r="222" spans="1:26">
      <c r="A222" s="64"/>
      <c r="B222" s="57" t="s">
        <v>403</v>
      </c>
      <c r="C222" s="65" t="s">
        <v>65</v>
      </c>
      <c r="D222" s="79"/>
      <c r="E222" s="79"/>
      <c r="F222" s="59"/>
      <c r="G222" s="59"/>
      <c r="H222" s="139">
        <f t="shared" si="26"/>
        <v>0</v>
      </c>
      <c r="I222" s="139">
        <f t="shared" si="26"/>
        <v>0</v>
      </c>
      <c r="J222" s="144"/>
      <c r="K222" s="79">
        <f t="shared" si="24"/>
        <v>0</v>
      </c>
      <c r="L222" s="79">
        <f t="shared" si="25"/>
        <v>0</v>
      </c>
      <c r="M222" s="128">
        <v>200000996</v>
      </c>
      <c r="N222" s="128">
        <v>200000996</v>
      </c>
      <c r="O222" s="127" t="s">
        <v>404</v>
      </c>
      <c r="P222" s="58" t="s">
        <v>24</v>
      </c>
      <c r="Q222" s="104"/>
      <c r="R222" s="97"/>
    </row>
    <row r="223" spans="1:26">
      <c r="A223" s="64"/>
      <c r="B223" s="57" t="s">
        <v>405</v>
      </c>
      <c r="C223" s="65" t="s">
        <v>65</v>
      </c>
      <c r="D223" s="79"/>
      <c r="E223" s="79"/>
      <c r="F223" s="59"/>
      <c r="G223" s="59"/>
      <c r="H223" s="139">
        <f t="shared" si="26"/>
        <v>0</v>
      </c>
      <c r="I223" s="139">
        <f t="shared" si="26"/>
        <v>0</v>
      </c>
      <c r="J223" s="144"/>
      <c r="K223" s="79">
        <f t="shared" si="24"/>
        <v>0</v>
      </c>
      <c r="L223" s="79">
        <f t="shared" si="25"/>
        <v>0</v>
      </c>
      <c r="M223" s="141"/>
      <c r="N223" s="89">
        <v>200000979</v>
      </c>
      <c r="O223" s="90" t="s">
        <v>406</v>
      </c>
      <c r="P223" s="58" t="s">
        <v>24</v>
      </c>
      <c r="Q223" s="104"/>
      <c r="R223" s="97"/>
    </row>
    <row r="224" spans="1:26">
      <c r="A224" s="64"/>
      <c r="B224" s="57" t="s">
        <v>407</v>
      </c>
      <c r="C224" s="65" t="s">
        <v>65</v>
      </c>
      <c r="D224" s="79"/>
      <c r="E224" s="79"/>
      <c r="F224" s="59"/>
      <c r="G224" s="59"/>
      <c r="H224" s="139">
        <f t="shared" si="26"/>
        <v>0</v>
      </c>
      <c r="I224" s="139">
        <f t="shared" si="26"/>
        <v>0</v>
      </c>
      <c r="J224" s="144"/>
      <c r="K224" s="79">
        <f t="shared" si="24"/>
        <v>0</v>
      </c>
      <c r="L224" s="79">
        <f t="shared" si="25"/>
        <v>0</v>
      </c>
      <c r="M224" s="141"/>
      <c r="N224" s="89">
        <v>200001007</v>
      </c>
      <c r="O224" s="90" t="s">
        <v>408</v>
      </c>
      <c r="P224" s="58" t="s">
        <v>24</v>
      </c>
      <c r="Q224" s="104"/>
      <c r="R224" s="97"/>
      <c r="S224" s="11"/>
      <c r="T224" s="11"/>
      <c r="U224" s="11"/>
      <c r="V224" s="11"/>
      <c r="W224" s="11"/>
      <c r="X224" s="11"/>
      <c r="Y224" s="11"/>
      <c r="Z224" s="11"/>
    </row>
    <row r="225" spans="1:26">
      <c r="A225" s="64" t="s">
        <v>115</v>
      </c>
      <c r="B225" s="57" t="s">
        <v>409</v>
      </c>
      <c r="C225" s="65" t="s">
        <v>65</v>
      </c>
      <c r="D225" s="242">
        <f>SUM('BoM CLUSTER UG'!C83:L83)</f>
        <v>0</v>
      </c>
      <c r="E225" s="242">
        <f>D225</f>
        <v>0</v>
      </c>
      <c r="F225" s="40"/>
      <c r="G225" s="294"/>
      <c r="H225" s="139" t="e">
        <f>#REF!*F225</f>
        <v>#REF!</v>
      </c>
      <c r="I225" s="139">
        <f>D225*G225</f>
        <v>0</v>
      </c>
      <c r="J225" s="144"/>
      <c r="K225" s="79" t="e">
        <f>#REF!+D225</f>
        <v>#REF!</v>
      </c>
      <c r="L225" s="79">
        <f t="shared" si="25"/>
        <v>0</v>
      </c>
      <c r="M225" s="141"/>
      <c r="N225" s="65">
        <v>200000185</v>
      </c>
      <c r="O225" s="57" t="s">
        <v>410</v>
      </c>
      <c r="P225" s="58" t="s">
        <v>24</v>
      </c>
      <c r="Q225" s="104"/>
      <c r="R225" s="97"/>
      <c r="S225" s="11"/>
      <c r="T225" s="11"/>
      <c r="U225" s="11"/>
      <c r="V225" s="11"/>
      <c r="W225" s="11"/>
      <c r="X225" s="11"/>
      <c r="Y225" s="11"/>
      <c r="Z225" s="11"/>
    </row>
    <row r="226" spans="1:26">
      <c r="A226" s="64" t="s">
        <v>146</v>
      </c>
      <c r="B226" s="57" t="s">
        <v>411</v>
      </c>
      <c r="C226" s="65" t="s">
        <v>33</v>
      </c>
      <c r="D226" s="242">
        <f>SUM('BoM CLUSTER UG'!C37:L37)</f>
        <v>0</v>
      </c>
      <c r="E226" s="242">
        <f>D226</f>
        <v>0</v>
      </c>
      <c r="F226" s="294"/>
      <c r="G226" s="40"/>
      <c r="H226" s="139" t="e">
        <f>#REF!*F226</f>
        <v>#REF!</v>
      </c>
      <c r="I226" s="139">
        <f>D226*G226</f>
        <v>0</v>
      </c>
      <c r="J226" s="144"/>
      <c r="K226" s="79" t="e">
        <f>#REF!+D226</f>
        <v>#REF!</v>
      </c>
      <c r="L226" s="79">
        <f t="shared" si="25"/>
        <v>0</v>
      </c>
      <c r="M226" s="141"/>
      <c r="N226" s="64">
        <v>200001033</v>
      </c>
      <c r="O226" s="127" t="s">
        <v>412</v>
      </c>
      <c r="P226" s="58" t="s">
        <v>24</v>
      </c>
      <c r="Q226" s="104"/>
      <c r="R226" s="97"/>
      <c r="S226" s="11"/>
      <c r="T226" s="11"/>
      <c r="U226" s="11"/>
      <c r="V226" s="11"/>
      <c r="W226" s="11"/>
      <c r="X226" s="11"/>
      <c r="Y226" s="11"/>
      <c r="Z226" s="11"/>
    </row>
    <row r="227" spans="1:26">
      <c r="A227" s="145" t="s">
        <v>342</v>
      </c>
      <c r="B227" s="146" t="s">
        <v>413</v>
      </c>
      <c r="C227" s="145" t="s">
        <v>65</v>
      </c>
      <c r="D227" s="79"/>
      <c r="E227" s="79"/>
      <c r="F227" s="59"/>
      <c r="G227" s="294"/>
      <c r="H227" s="139">
        <f t="shared" si="26"/>
        <v>0</v>
      </c>
      <c r="I227" s="139">
        <f t="shared" si="26"/>
        <v>0</v>
      </c>
      <c r="J227" s="144"/>
      <c r="K227" s="79">
        <f t="shared" si="24"/>
        <v>0</v>
      </c>
      <c r="L227" s="79">
        <f t="shared" si="25"/>
        <v>0</v>
      </c>
      <c r="M227" s="141"/>
      <c r="N227" s="64">
        <v>500002194</v>
      </c>
      <c r="O227" s="64"/>
      <c r="P227" s="58"/>
      <c r="Q227" s="104"/>
      <c r="R227" s="97"/>
      <c r="S227" s="11"/>
      <c r="T227" s="11"/>
      <c r="U227" s="11"/>
      <c r="V227" s="11"/>
      <c r="W227" s="11"/>
      <c r="X227" s="11"/>
      <c r="Y227" s="11"/>
      <c r="Z227" s="11"/>
    </row>
    <row r="228" spans="1:26">
      <c r="A228" s="145"/>
      <c r="B228" s="5" t="s">
        <v>414</v>
      </c>
      <c r="C228" s="133" t="s">
        <v>148</v>
      </c>
      <c r="D228" s="242">
        <f>SUM('BoM CLUSTER UG'!C84:L84)</f>
        <v>0</v>
      </c>
      <c r="E228" s="242">
        <f>D228</f>
        <v>0</v>
      </c>
      <c r="F228" s="40"/>
      <c r="G228" s="294"/>
      <c r="H228" s="139">
        <f t="shared" si="26"/>
        <v>0</v>
      </c>
      <c r="I228" s="139">
        <f t="shared" si="26"/>
        <v>0</v>
      </c>
      <c r="J228" s="144"/>
      <c r="K228" s="79">
        <f t="shared" si="24"/>
        <v>0</v>
      </c>
      <c r="L228" s="79">
        <f t="shared" si="25"/>
        <v>0</v>
      </c>
      <c r="M228" s="141"/>
      <c r="N228" s="155">
        <v>200000149</v>
      </c>
      <c r="O228" s="5" t="s">
        <v>415</v>
      </c>
      <c r="P228" s="58" t="s">
        <v>24</v>
      </c>
      <c r="Q228" s="104"/>
      <c r="R228" s="97"/>
      <c r="S228" s="11"/>
      <c r="T228" s="11"/>
      <c r="U228" s="11"/>
      <c r="V228" s="11"/>
      <c r="W228" s="11"/>
      <c r="X228" s="11"/>
      <c r="Y228" s="11"/>
      <c r="Z228" s="11"/>
    </row>
    <row r="229" spans="1:26">
      <c r="A229" s="145"/>
      <c r="B229" s="5" t="s">
        <v>416</v>
      </c>
      <c r="C229" s="133" t="s">
        <v>148</v>
      </c>
      <c r="D229" s="242">
        <f>SUM('BoM CLUSTER UG'!C85:L85)</f>
        <v>0</v>
      </c>
      <c r="E229" s="242">
        <f t="shared" ref="E229:E241" si="27">D229</f>
        <v>0</v>
      </c>
      <c r="F229" s="40"/>
      <c r="G229" s="294"/>
      <c r="H229" s="139">
        <f t="shared" si="26"/>
        <v>0</v>
      </c>
      <c r="I229" s="139">
        <f t="shared" si="26"/>
        <v>0</v>
      </c>
      <c r="J229" s="144"/>
      <c r="K229" s="79">
        <f t="shared" si="24"/>
        <v>0</v>
      </c>
      <c r="L229" s="79">
        <f t="shared" si="25"/>
        <v>0</v>
      </c>
      <c r="M229" s="141"/>
      <c r="N229" s="155">
        <v>200000148</v>
      </c>
      <c r="O229" s="5" t="s">
        <v>417</v>
      </c>
      <c r="P229" s="58" t="s">
        <v>24</v>
      </c>
      <c r="Q229" s="104"/>
      <c r="R229" s="97"/>
      <c r="S229" s="11"/>
      <c r="T229" s="11"/>
      <c r="U229" s="11"/>
      <c r="V229" s="11"/>
      <c r="W229" s="11"/>
      <c r="X229" s="11"/>
      <c r="Y229" s="11"/>
      <c r="Z229" s="11"/>
    </row>
    <row r="230" spans="1:26">
      <c r="A230" s="145"/>
      <c r="B230" s="5" t="s">
        <v>418</v>
      </c>
      <c r="C230" s="133" t="s">
        <v>148</v>
      </c>
      <c r="D230" s="79"/>
      <c r="E230" s="79">
        <f t="shared" si="27"/>
        <v>0</v>
      </c>
      <c r="F230" s="298"/>
      <c r="G230" s="294"/>
      <c r="H230" s="139">
        <f t="shared" si="26"/>
        <v>0</v>
      </c>
      <c r="I230" s="139">
        <f t="shared" si="26"/>
        <v>0</v>
      </c>
      <c r="J230" s="144"/>
      <c r="K230" s="79">
        <f t="shared" si="24"/>
        <v>0</v>
      </c>
      <c r="L230" s="79">
        <f t="shared" si="25"/>
        <v>0</v>
      </c>
      <c r="M230" s="141"/>
      <c r="N230" s="155">
        <v>200000188</v>
      </c>
      <c r="O230" s="5" t="s">
        <v>419</v>
      </c>
      <c r="P230" s="58" t="s">
        <v>24</v>
      </c>
      <c r="Q230" s="104"/>
      <c r="R230" s="97"/>
      <c r="S230" s="11"/>
      <c r="T230" s="11"/>
      <c r="U230" s="11"/>
      <c r="V230" s="11"/>
      <c r="W230" s="11"/>
      <c r="X230" s="11"/>
      <c r="Y230" s="11"/>
      <c r="Z230" s="11"/>
    </row>
    <row r="231" spans="1:26">
      <c r="A231" s="145"/>
      <c r="B231" s="5" t="s">
        <v>420</v>
      </c>
      <c r="C231" s="133" t="s">
        <v>148</v>
      </c>
      <c r="D231" s="242">
        <f>SUM('BoM CLUSTER UG'!C86:L86)</f>
        <v>0</v>
      </c>
      <c r="E231" s="242">
        <f t="shared" si="27"/>
        <v>0</v>
      </c>
      <c r="F231" s="40"/>
      <c r="G231" s="294"/>
      <c r="H231" s="139">
        <f t="shared" si="26"/>
        <v>0</v>
      </c>
      <c r="I231" s="139">
        <f t="shared" si="26"/>
        <v>0</v>
      </c>
      <c r="J231" s="144"/>
      <c r="K231" s="79">
        <f t="shared" si="24"/>
        <v>0</v>
      </c>
      <c r="L231" s="79">
        <f t="shared" si="25"/>
        <v>0</v>
      </c>
      <c r="M231" s="141"/>
      <c r="N231" s="155">
        <v>200000172</v>
      </c>
      <c r="O231" s="5" t="s">
        <v>421</v>
      </c>
      <c r="P231" s="58" t="s">
        <v>24</v>
      </c>
      <c r="Q231" s="104"/>
      <c r="R231" s="97"/>
      <c r="S231" s="11"/>
      <c r="T231" s="11"/>
      <c r="U231" s="11"/>
      <c r="V231" s="11"/>
      <c r="W231" s="11"/>
      <c r="X231" s="11"/>
      <c r="Y231" s="11"/>
      <c r="Z231" s="11"/>
    </row>
    <row r="232" spans="1:26">
      <c r="A232" s="145"/>
      <c r="B232" s="5" t="s">
        <v>422</v>
      </c>
      <c r="C232" s="133" t="s">
        <v>148</v>
      </c>
      <c r="D232" s="242">
        <f>SUM('BoM CLUSTER UG'!C89:L89)</f>
        <v>0</v>
      </c>
      <c r="E232" s="242">
        <f t="shared" si="27"/>
        <v>0</v>
      </c>
      <c r="F232" s="147"/>
      <c r="G232" s="294"/>
      <c r="H232" s="139"/>
      <c r="I232" s="139"/>
      <c r="J232" s="144"/>
      <c r="K232" s="79"/>
      <c r="L232" s="79"/>
      <c r="M232" s="141"/>
      <c r="N232" s="155">
        <v>200002130</v>
      </c>
      <c r="O232" s="5" t="s">
        <v>423</v>
      </c>
      <c r="P232" s="141" t="s">
        <v>24</v>
      </c>
      <c r="Q232" s="159"/>
      <c r="R232" s="160"/>
      <c r="S232" s="11"/>
      <c r="T232" s="11"/>
      <c r="U232" s="11"/>
      <c r="V232" s="11"/>
      <c r="W232" s="11"/>
      <c r="X232" s="11"/>
      <c r="Y232" s="11"/>
      <c r="Z232" s="11"/>
    </row>
    <row r="233" spans="1:26">
      <c r="A233" s="145"/>
      <c r="B233" s="5" t="s">
        <v>424</v>
      </c>
      <c r="C233" s="133" t="s">
        <v>148</v>
      </c>
      <c r="D233" s="79"/>
      <c r="E233" s="79">
        <f t="shared" si="27"/>
        <v>0</v>
      </c>
      <c r="F233" s="298"/>
      <c r="G233" s="294"/>
      <c r="H233" s="139">
        <f t="shared" ref="H233:I240" si="28">D233*F233</f>
        <v>0</v>
      </c>
      <c r="I233" s="139">
        <f t="shared" si="28"/>
        <v>0</v>
      </c>
      <c r="J233" s="144"/>
      <c r="K233" s="79">
        <f t="shared" ref="K233:K241" si="29">D233+E233</f>
        <v>0</v>
      </c>
      <c r="L233" s="79">
        <f t="shared" ref="L233:L241" si="30">F233+G233</f>
        <v>0</v>
      </c>
      <c r="M233" s="141"/>
      <c r="N233" s="155">
        <v>200000175</v>
      </c>
      <c r="O233" s="5" t="s">
        <v>425</v>
      </c>
      <c r="P233" s="58" t="s">
        <v>24</v>
      </c>
      <c r="Q233" s="104"/>
      <c r="R233" s="97"/>
      <c r="S233" s="11"/>
      <c r="T233" s="11"/>
      <c r="U233" s="11"/>
      <c r="V233" s="11"/>
      <c r="W233" s="11"/>
      <c r="X233" s="11"/>
      <c r="Y233" s="11"/>
      <c r="Z233" s="11"/>
    </row>
    <row r="234" spans="1:26">
      <c r="A234" s="145"/>
      <c r="B234" s="5" t="s">
        <v>426</v>
      </c>
      <c r="C234" s="133" t="s">
        <v>148</v>
      </c>
      <c r="D234" s="242">
        <f>SUM('BoM CLUSTER UG'!C126:L126)</f>
        <v>0</v>
      </c>
      <c r="E234" s="242">
        <f>D234</f>
        <v>0</v>
      </c>
      <c r="F234" s="298"/>
      <c r="G234" s="294"/>
      <c r="H234" s="139">
        <f t="shared" si="28"/>
        <v>0</v>
      </c>
      <c r="I234" s="139">
        <f t="shared" si="28"/>
        <v>0</v>
      </c>
      <c r="J234" s="144"/>
      <c r="K234" s="79">
        <f t="shared" si="29"/>
        <v>0</v>
      </c>
      <c r="L234" s="79">
        <f t="shared" si="30"/>
        <v>0</v>
      </c>
      <c r="M234" s="141"/>
      <c r="N234" s="155">
        <v>200000670</v>
      </c>
      <c r="O234" s="5" t="s">
        <v>256</v>
      </c>
      <c r="P234" s="58" t="s">
        <v>24</v>
      </c>
      <c r="Q234" s="104"/>
      <c r="R234" s="97"/>
      <c r="S234" s="11"/>
      <c r="T234" s="11"/>
      <c r="U234" s="11"/>
      <c r="V234" s="11"/>
      <c r="W234" s="11"/>
      <c r="X234" s="11"/>
      <c r="Y234" s="11"/>
      <c r="Z234" s="11"/>
    </row>
    <row r="235" spans="1:26">
      <c r="A235" s="145"/>
      <c r="B235" s="5" t="s">
        <v>427</v>
      </c>
      <c r="C235" s="133" t="s">
        <v>148</v>
      </c>
      <c r="D235" s="242">
        <f>SUM('BoM CLUSTER UG'!C91:L91)</f>
        <v>0</v>
      </c>
      <c r="E235" s="242">
        <f t="shared" si="27"/>
        <v>0</v>
      </c>
      <c r="F235" s="298"/>
      <c r="G235" s="294"/>
      <c r="H235" s="139">
        <f t="shared" si="28"/>
        <v>0</v>
      </c>
      <c r="I235" s="139">
        <f t="shared" si="28"/>
        <v>0</v>
      </c>
      <c r="J235" s="144"/>
      <c r="K235" s="79">
        <f t="shared" si="29"/>
        <v>0</v>
      </c>
      <c r="L235" s="79">
        <f t="shared" si="30"/>
        <v>0</v>
      </c>
      <c r="M235" s="141"/>
      <c r="N235" s="155">
        <v>200000166</v>
      </c>
      <c r="O235" s="5" t="s">
        <v>428</v>
      </c>
      <c r="P235" s="58" t="s">
        <v>24</v>
      </c>
      <c r="Q235" s="104"/>
      <c r="R235" s="97"/>
      <c r="S235" s="11"/>
      <c r="T235" s="11"/>
      <c r="U235" s="11"/>
      <c r="V235" s="11"/>
      <c r="W235" s="11"/>
      <c r="X235" s="11"/>
      <c r="Y235" s="11"/>
      <c r="Z235" s="11"/>
    </row>
    <row r="236" spans="1:26">
      <c r="A236" s="145"/>
      <c r="B236" s="5" t="s">
        <v>429</v>
      </c>
      <c r="C236" s="133" t="s">
        <v>148</v>
      </c>
      <c r="D236" s="242">
        <f>SUM('BoM CLUSTER UG'!C90:L90)</f>
        <v>0</v>
      </c>
      <c r="E236" s="242">
        <f t="shared" si="27"/>
        <v>0</v>
      </c>
      <c r="F236" s="40"/>
      <c r="G236" s="294"/>
      <c r="H236" s="139">
        <f t="shared" si="28"/>
        <v>0</v>
      </c>
      <c r="I236" s="139">
        <f t="shared" si="28"/>
        <v>0</v>
      </c>
      <c r="J236" s="144"/>
      <c r="K236" s="79">
        <f t="shared" si="29"/>
        <v>0</v>
      </c>
      <c r="L236" s="79">
        <f t="shared" si="30"/>
        <v>0</v>
      </c>
      <c r="M236" s="141"/>
      <c r="N236" s="155">
        <v>200000145</v>
      </c>
      <c r="O236" s="5" t="s">
        <v>430</v>
      </c>
      <c r="P236" s="58" t="s">
        <v>24</v>
      </c>
      <c r="Q236" s="104"/>
      <c r="R236" s="97"/>
      <c r="S236" s="11"/>
      <c r="T236" s="11"/>
      <c r="U236" s="11"/>
      <c r="V236" s="11"/>
      <c r="W236" s="11"/>
      <c r="X236" s="11"/>
      <c r="Y236" s="11"/>
      <c r="Z236" s="11"/>
    </row>
    <row r="237" spans="1:26">
      <c r="A237" s="145"/>
      <c r="B237" s="5" t="s">
        <v>431</v>
      </c>
      <c r="C237" s="133" t="s">
        <v>148</v>
      </c>
      <c r="D237" s="79"/>
      <c r="E237" s="79">
        <f t="shared" si="27"/>
        <v>0</v>
      </c>
      <c r="F237" s="298"/>
      <c r="G237" s="294"/>
      <c r="H237" s="139">
        <f t="shared" si="28"/>
        <v>0</v>
      </c>
      <c r="I237" s="139">
        <f t="shared" si="28"/>
        <v>0</v>
      </c>
      <c r="J237" s="144"/>
      <c r="K237" s="79">
        <f t="shared" si="29"/>
        <v>0</v>
      </c>
      <c r="L237" s="79">
        <f t="shared" si="30"/>
        <v>0</v>
      </c>
      <c r="M237" s="141"/>
      <c r="N237" s="155">
        <v>200000150</v>
      </c>
      <c r="O237" s="5" t="s">
        <v>432</v>
      </c>
      <c r="P237" s="58" t="s">
        <v>24</v>
      </c>
      <c r="Q237" s="104"/>
      <c r="R237" s="97"/>
      <c r="S237" s="11"/>
      <c r="T237" s="11"/>
      <c r="U237" s="11"/>
      <c r="V237" s="11"/>
      <c r="W237" s="11"/>
      <c r="X237" s="11"/>
      <c r="Y237" s="11"/>
      <c r="Z237" s="11"/>
    </row>
    <row r="238" spans="1:26">
      <c r="A238" s="145"/>
      <c r="B238" s="5" t="s">
        <v>433</v>
      </c>
      <c r="C238" s="133" t="s">
        <v>148</v>
      </c>
      <c r="D238" s="242">
        <f>SUM('BoM CLUSTER UG'!C87:L87)</f>
        <v>0</v>
      </c>
      <c r="E238" s="242">
        <f t="shared" si="27"/>
        <v>0</v>
      </c>
      <c r="F238" s="40"/>
      <c r="G238" s="294"/>
      <c r="H238" s="139">
        <f t="shared" si="28"/>
        <v>0</v>
      </c>
      <c r="I238" s="139">
        <f t="shared" si="28"/>
        <v>0</v>
      </c>
      <c r="J238" s="144"/>
      <c r="K238" s="79">
        <f t="shared" si="29"/>
        <v>0</v>
      </c>
      <c r="L238" s="79">
        <f t="shared" si="30"/>
        <v>0</v>
      </c>
      <c r="M238" s="141"/>
      <c r="N238" s="155">
        <v>500001103</v>
      </c>
      <c r="O238" s="5" t="s">
        <v>434</v>
      </c>
      <c r="P238" s="58" t="s">
        <v>24</v>
      </c>
      <c r="Q238" s="104"/>
      <c r="R238" s="97"/>
      <c r="S238" s="11"/>
      <c r="T238" s="11"/>
      <c r="U238" s="11"/>
      <c r="V238" s="11"/>
      <c r="W238" s="11"/>
      <c r="X238" s="11"/>
      <c r="Y238" s="11"/>
      <c r="Z238" s="11"/>
    </row>
    <row r="239" spans="1:26">
      <c r="A239" s="145"/>
      <c r="B239" s="5" t="s">
        <v>435</v>
      </c>
      <c r="C239" s="133" t="s">
        <v>148</v>
      </c>
      <c r="D239" s="242">
        <f>SUM('BoM CLUSTER UG'!C88:L88)</f>
        <v>0</v>
      </c>
      <c r="E239" s="242">
        <f t="shared" si="27"/>
        <v>0</v>
      </c>
      <c r="F239" s="40"/>
      <c r="G239" s="294"/>
      <c r="H239" s="139">
        <f t="shared" si="28"/>
        <v>0</v>
      </c>
      <c r="I239" s="139">
        <f t="shared" si="28"/>
        <v>0</v>
      </c>
      <c r="J239" s="144"/>
      <c r="K239" s="79">
        <f t="shared" si="29"/>
        <v>0</v>
      </c>
      <c r="L239" s="79">
        <f t="shared" si="30"/>
        <v>0</v>
      </c>
      <c r="M239" s="141"/>
      <c r="N239" s="155">
        <v>200000690</v>
      </c>
      <c r="O239" s="5" t="s">
        <v>436</v>
      </c>
      <c r="P239" s="58" t="s">
        <v>24</v>
      </c>
      <c r="Q239" s="104"/>
      <c r="R239" s="97"/>
    </row>
    <row r="240" spans="1:26">
      <c r="A240" s="145"/>
      <c r="B240" s="5" t="s">
        <v>437</v>
      </c>
      <c r="C240" s="133" t="s">
        <v>148</v>
      </c>
      <c r="D240" s="242">
        <f>SUM('BoM CLUSTER UG'!C92:L92)</f>
        <v>0</v>
      </c>
      <c r="E240" s="242">
        <f t="shared" si="27"/>
        <v>0</v>
      </c>
      <c r="F240" s="40"/>
      <c r="G240" s="294"/>
      <c r="H240" s="139">
        <f t="shared" si="28"/>
        <v>0</v>
      </c>
      <c r="I240" s="139">
        <f t="shared" si="28"/>
        <v>0</v>
      </c>
      <c r="J240" s="144"/>
      <c r="K240" s="79">
        <f t="shared" si="29"/>
        <v>0</v>
      </c>
      <c r="L240" s="79">
        <f t="shared" si="30"/>
        <v>0</v>
      </c>
      <c r="M240" s="141"/>
      <c r="N240" s="155">
        <v>200001510</v>
      </c>
      <c r="O240" s="5" t="s">
        <v>438</v>
      </c>
      <c r="P240" s="58" t="s">
        <v>24</v>
      </c>
      <c r="Q240" s="104"/>
      <c r="R240" s="97"/>
    </row>
    <row r="241" spans="1:26" customFormat="1" ht="15">
      <c r="A241" s="145"/>
      <c r="B241" s="5" t="s">
        <v>439</v>
      </c>
      <c r="C241" s="133" t="s">
        <v>148</v>
      </c>
      <c r="D241" s="242">
        <f>SUM('BoM CLUSTER UG'!C93:L93)</f>
        <v>0</v>
      </c>
      <c r="E241" s="242">
        <f t="shared" si="27"/>
        <v>0</v>
      </c>
      <c r="F241" s="40"/>
      <c r="G241" s="294"/>
      <c r="H241" s="139"/>
      <c r="I241" s="139"/>
      <c r="J241" s="144"/>
      <c r="K241" s="79">
        <f t="shared" si="29"/>
        <v>0</v>
      </c>
      <c r="L241" s="79">
        <f t="shared" si="30"/>
        <v>0</v>
      </c>
      <c r="M241" s="141"/>
      <c r="N241" s="155">
        <v>200001070</v>
      </c>
      <c r="O241" s="5" t="s">
        <v>440</v>
      </c>
      <c r="P241" s="58" t="s">
        <v>24</v>
      </c>
      <c r="Q241" s="104"/>
      <c r="R241" s="97"/>
      <c r="S241" s="16"/>
      <c r="T241" s="16"/>
      <c r="U241" s="16"/>
      <c r="V241" s="16"/>
      <c r="W241" s="16"/>
      <c r="X241" s="16"/>
      <c r="Y241" s="16"/>
      <c r="Z241" s="16"/>
    </row>
    <row r="242" spans="1:26" s="10" customFormat="1">
      <c r="A242" s="113" t="s">
        <v>441</v>
      </c>
      <c r="B242" s="114"/>
      <c r="C242" s="114"/>
      <c r="D242" s="45"/>
      <c r="E242" s="45"/>
      <c r="F242" s="45"/>
      <c r="G242" s="44"/>
      <c r="H242" s="45" t="e">
        <f>SUM(H209:H240)</f>
        <v>#REF!</v>
      </c>
      <c r="I242" s="45">
        <f>SUM(I209:I240)</f>
        <v>0</v>
      </c>
      <c r="J242" s="45" t="e">
        <f>H242+I242</f>
        <v>#REF!</v>
      </c>
      <c r="K242" s="45"/>
      <c r="L242" s="45"/>
      <c r="M242" s="45"/>
      <c r="N242" s="123"/>
      <c r="O242" s="123"/>
      <c r="P242" s="45"/>
      <c r="Q242" s="105"/>
      <c r="R242" s="106"/>
      <c r="S242" s="16"/>
      <c r="T242" s="16"/>
      <c r="U242" s="16"/>
      <c r="V242" s="16"/>
      <c r="W242" s="16"/>
      <c r="X242" s="16"/>
      <c r="Y242" s="16"/>
      <c r="Z242" s="16"/>
    </row>
    <row r="243" spans="1:26">
      <c r="A243" s="148"/>
      <c r="B243" s="149"/>
      <c r="C243" s="150"/>
      <c r="D243" s="188"/>
      <c r="E243" s="188"/>
      <c r="F243" s="151"/>
      <c r="G243" s="49"/>
      <c r="H243" s="151"/>
      <c r="I243" s="151"/>
      <c r="J243" s="151"/>
      <c r="K243" s="151"/>
      <c r="L243" s="151"/>
      <c r="M243" s="151"/>
      <c r="N243" s="156"/>
      <c r="O243" s="156"/>
      <c r="P243" s="157"/>
      <c r="Q243" s="105"/>
      <c r="R243" s="106"/>
    </row>
    <row r="244" spans="1:26" s="9" customFormat="1">
      <c r="A244" s="32">
        <v>2.4</v>
      </c>
      <c r="B244" s="119" t="s">
        <v>442</v>
      </c>
      <c r="C244" s="34"/>
      <c r="D244" s="35"/>
      <c r="E244" s="35"/>
      <c r="F244" s="34"/>
      <c r="G244" s="34"/>
      <c r="H244" s="34"/>
      <c r="I244" s="34"/>
      <c r="J244" s="78"/>
      <c r="K244" s="34"/>
      <c r="L244" s="34"/>
      <c r="M244" s="34"/>
      <c r="N244" s="158"/>
      <c r="O244" s="158"/>
      <c r="P244" s="158"/>
      <c r="Q244" s="97"/>
      <c r="R244" s="106"/>
      <c r="S244" s="16"/>
      <c r="T244" s="16"/>
      <c r="U244" s="16"/>
      <c r="V244" s="16"/>
      <c r="W244" s="16"/>
      <c r="X244" s="16"/>
      <c r="Y244" s="16"/>
      <c r="Z244" s="16"/>
    </row>
    <row r="245" spans="1:26">
      <c r="A245" s="37" t="s">
        <v>30</v>
      </c>
      <c r="B245" s="62" t="s">
        <v>443</v>
      </c>
      <c r="C245" s="38"/>
      <c r="D245" s="39"/>
      <c r="E245" s="39"/>
      <c r="F245" s="50"/>
      <c r="G245" s="49"/>
      <c r="H245" s="139">
        <f t="shared" ref="H245:I280" si="31">D245*F245</f>
        <v>0</v>
      </c>
      <c r="I245" s="139">
        <f t="shared" si="31"/>
        <v>0</v>
      </c>
      <c r="J245" s="50"/>
      <c r="K245" s="39">
        <f t="shared" ref="K245:K280" si="32">D245+E245</f>
        <v>0</v>
      </c>
      <c r="L245" s="79">
        <f t="shared" ref="L245:L280" si="33">F245+G245</f>
        <v>0</v>
      </c>
      <c r="M245" s="50"/>
      <c r="N245" s="29"/>
      <c r="O245" s="29"/>
      <c r="P245" s="50"/>
      <c r="Q245" s="105"/>
      <c r="R245" s="106"/>
    </row>
    <row r="246" spans="1:26">
      <c r="A246" s="37"/>
      <c r="B246" s="62" t="s">
        <v>444</v>
      </c>
      <c r="C246" s="38" t="s">
        <v>65</v>
      </c>
      <c r="D246" s="39"/>
      <c r="E246" s="39"/>
      <c r="F246" s="50"/>
      <c r="G246" s="49"/>
      <c r="H246" s="139">
        <f t="shared" si="31"/>
        <v>0</v>
      </c>
      <c r="I246" s="139">
        <f t="shared" si="31"/>
        <v>0</v>
      </c>
      <c r="J246" s="50"/>
      <c r="K246" s="39">
        <f t="shared" si="32"/>
        <v>0</v>
      </c>
      <c r="L246" s="79">
        <f t="shared" si="33"/>
        <v>0</v>
      </c>
      <c r="M246" s="50"/>
      <c r="N246" s="89">
        <v>200001001</v>
      </c>
      <c r="O246" s="90" t="s">
        <v>445</v>
      </c>
      <c r="P246" s="58" t="s">
        <v>24</v>
      </c>
      <c r="Q246" s="104"/>
      <c r="R246" s="106"/>
    </row>
    <row r="247" spans="1:26">
      <c r="A247" s="37"/>
      <c r="B247" s="62" t="s">
        <v>446</v>
      </c>
      <c r="C247" s="38" t="s">
        <v>65</v>
      </c>
      <c r="D247" s="39"/>
      <c r="E247" s="39"/>
      <c r="F247" s="50"/>
      <c r="G247" s="49"/>
      <c r="H247" s="139">
        <f t="shared" si="31"/>
        <v>0</v>
      </c>
      <c r="I247" s="139">
        <f t="shared" si="31"/>
        <v>0</v>
      </c>
      <c r="J247" s="50"/>
      <c r="K247" s="39">
        <f t="shared" si="32"/>
        <v>0</v>
      </c>
      <c r="L247" s="79">
        <f t="shared" si="33"/>
        <v>0</v>
      </c>
      <c r="M247" s="50"/>
      <c r="N247" s="89">
        <v>500002069</v>
      </c>
      <c r="O247" s="90" t="s">
        <v>447</v>
      </c>
      <c r="P247" s="58" t="s">
        <v>21</v>
      </c>
      <c r="Q247" s="104"/>
      <c r="R247" s="106"/>
    </row>
    <row r="248" spans="1:26">
      <c r="A248" s="37"/>
      <c r="B248" s="62" t="s">
        <v>448</v>
      </c>
      <c r="C248" s="38" t="s">
        <v>65</v>
      </c>
      <c r="D248" s="39"/>
      <c r="E248" s="39"/>
      <c r="F248" s="50"/>
      <c r="G248" s="49"/>
      <c r="H248" s="139">
        <f t="shared" si="31"/>
        <v>0</v>
      </c>
      <c r="I248" s="139">
        <f t="shared" si="31"/>
        <v>0</v>
      </c>
      <c r="J248" s="50"/>
      <c r="K248" s="39">
        <f t="shared" si="32"/>
        <v>0</v>
      </c>
      <c r="L248" s="79">
        <f t="shared" si="33"/>
        <v>0</v>
      </c>
      <c r="M248" s="50"/>
      <c r="N248" s="89">
        <v>200001005</v>
      </c>
      <c r="O248" s="90" t="s">
        <v>449</v>
      </c>
      <c r="P248" s="58" t="s">
        <v>24</v>
      </c>
      <c r="Q248" s="104"/>
      <c r="R248" s="106"/>
    </row>
    <row r="249" spans="1:26">
      <c r="A249" s="37"/>
      <c r="B249" s="62" t="s">
        <v>450</v>
      </c>
      <c r="C249" s="38" t="s">
        <v>65</v>
      </c>
      <c r="D249" s="39"/>
      <c r="E249" s="39"/>
      <c r="F249" s="50"/>
      <c r="G249" s="49"/>
      <c r="H249" s="139">
        <f t="shared" si="31"/>
        <v>0</v>
      </c>
      <c r="I249" s="139">
        <f t="shared" si="31"/>
        <v>0</v>
      </c>
      <c r="J249" s="50"/>
      <c r="K249" s="39">
        <f t="shared" si="32"/>
        <v>0</v>
      </c>
      <c r="L249" s="79">
        <f t="shared" si="33"/>
        <v>0</v>
      </c>
      <c r="M249" s="50"/>
      <c r="N249" s="89">
        <v>500002070</v>
      </c>
      <c r="O249" s="90" t="s">
        <v>451</v>
      </c>
      <c r="P249" s="58" t="s">
        <v>21</v>
      </c>
      <c r="Q249" s="104"/>
      <c r="R249" s="106"/>
    </row>
    <row r="250" spans="1:26">
      <c r="A250" s="37"/>
      <c r="B250" s="120" t="s">
        <v>452</v>
      </c>
      <c r="C250" s="37" t="s">
        <v>65</v>
      </c>
      <c r="D250" s="39"/>
      <c r="E250" s="39"/>
      <c r="F250" s="50"/>
      <c r="G250" s="49"/>
      <c r="H250" s="139">
        <f t="shared" si="31"/>
        <v>0</v>
      </c>
      <c r="I250" s="139">
        <f t="shared" si="31"/>
        <v>0</v>
      </c>
      <c r="J250" s="50"/>
      <c r="K250" s="39">
        <f t="shared" si="32"/>
        <v>0</v>
      </c>
      <c r="L250" s="79">
        <f t="shared" si="33"/>
        <v>0</v>
      </c>
      <c r="M250" s="50"/>
      <c r="N250" s="89">
        <v>200001036</v>
      </c>
      <c r="O250" s="90" t="s">
        <v>453</v>
      </c>
      <c r="P250" s="58" t="s">
        <v>24</v>
      </c>
      <c r="Q250" s="104"/>
      <c r="R250" s="106"/>
    </row>
    <row r="251" spans="1:26" ht="25.5">
      <c r="A251" s="37"/>
      <c r="B251" s="120" t="s">
        <v>454</v>
      </c>
      <c r="C251" s="38" t="s">
        <v>65</v>
      </c>
      <c r="D251" s="39"/>
      <c r="E251" s="39"/>
      <c r="F251" s="50"/>
      <c r="G251" s="49"/>
      <c r="H251" s="139">
        <f t="shared" si="31"/>
        <v>0</v>
      </c>
      <c r="I251" s="139">
        <f t="shared" si="31"/>
        <v>0</v>
      </c>
      <c r="J251" s="50"/>
      <c r="K251" s="39">
        <f t="shared" si="32"/>
        <v>0</v>
      </c>
      <c r="L251" s="79">
        <f t="shared" si="33"/>
        <v>0</v>
      </c>
      <c r="M251" s="50"/>
      <c r="N251" s="89">
        <v>500002071</v>
      </c>
      <c r="O251" s="90" t="s">
        <v>455</v>
      </c>
      <c r="P251" s="58" t="s">
        <v>21</v>
      </c>
      <c r="Q251" s="104"/>
      <c r="R251" s="106"/>
    </row>
    <row r="252" spans="1:26">
      <c r="A252" s="37" t="s">
        <v>62</v>
      </c>
      <c r="B252" s="62" t="s">
        <v>456</v>
      </c>
      <c r="C252" s="38"/>
      <c r="D252" s="39"/>
      <c r="E252" s="39"/>
      <c r="F252" s="50"/>
      <c r="G252" s="49"/>
      <c r="H252" s="139">
        <f t="shared" si="31"/>
        <v>0</v>
      </c>
      <c r="I252" s="139">
        <f t="shared" si="31"/>
        <v>0</v>
      </c>
      <c r="J252" s="50"/>
      <c r="K252" s="39">
        <f t="shared" si="32"/>
        <v>0</v>
      </c>
      <c r="L252" s="79">
        <f t="shared" si="33"/>
        <v>0</v>
      </c>
      <c r="M252" s="50"/>
      <c r="N252" s="29"/>
      <c r="O252" s="29"/>
      <c r="P252" s="50"/>
      <c r="Q252" s="105"/>
      <c r="R252" s="106"/>
    </row>
    <row r="253" spans="1:26">
      <c r="A253" s="37"/>
      <c r="B253" s="152" t="s">
        <v>457</v>
      </c>
      <c r="C253" s="153" t="s">
        <v>92</v>
      </c>
      <c r="D253" s="39"/>
      <c r="E253" s="39"/>
      <c r="F253" s="50"/>
      <c r="G253" s="49"/>
      <c r="H253" s="139">
        <f t="shared" si="31"/>
        <v>0</v>
      </c>
      <c r="I253" s="139">
        <f t="shared" si="31"/>
        <v>0</v>
      </c>
      <c r="J253" s="50"/>
      <c r="K253" s="39">
        <f t="shared" si="32"/>
        <v>0</v>
      </c>
      <c r="L253" s="79">
        <f t="shared" si="33"/>
        <v>0</v>
      </c>
      <c r="M253" s="50"/>
      <c r="N253" s="89">
        <v>200001002</v>
      </c>
      <c r="O253" s="90" t="s">
        <v>458</v>
      </c>
      <c r="P253" s="58" t="s">
        <v>24</v>
      </c>
      <c r="Q253" s="104"/>
      <c r="R253" s="106"/>
    </row>
    <row r="254" spans="1:26">
      <c r="A254" s="37"/>
      <c r="B254" s="152" t="s">
        <v>459</v>
      </c>
      <c r="C254" s="153" t="s">
        <v>92</v>
      </c>
      <c r="D254" s="39"/>
      <c r="E254" s="39"/>
      <c r="F254" s="50"/>
      <c r="G254" s="49"/>
      <c r="H254" s="139">
        <f t="shared" si="31"/>
        <v>0</v>
      </c>
      <c r="I254" s="139">
        <f t="shared" si="31"/>
        <v>0</v>
      </c>
      <c r="J254" s="50"/>
      <c r="K254" s="39">
        <f t="shared" si="32"/>
        <v>0</v>
      </c>
      <c r="L254" s="79">
        <f t="shared" si="33"/>
        <v>0</v>
      </c>
      <c r="M254" s="50"/>
      <c r="N254" s="89">
        <v>500002072</v>
      </c>
      <c r="O254" s="90" t="s">
        <v>460</v>
      </c>
      <c r="P254" s="58" t="s">
        <v>21</v>
      </c>
      <c r="Q254" s="104"/>
      <c r="R254" s="106"/>
    </row>
    <row r="255" spans="1:26">
      <c r="A255" s="37"/>
      <c r="B255" s="154" t="s">
        <v>461</v>
      </c>
      <c r="C255" s="133" t="s">
        <v>92</v>
      </c>
      <c r="D255" s="39"/>
      <c r="E255" s="39"/>
      <c r="F255" s="50"/>
      <c r="G255" s="49"/>
      <c r="H255" s="139">
        <f t="shared" si="31"/>
        <v>0</v>
      </c>
      <c r="I255" s="139">
        <f t="shared" si="31"/>
        <v>0</v>
      </c>
      <c r="J255" s="50"/>
      <c r="K255" s="39">
        <f t="shared" si="32"/>
        <v>0</v>
      </c>
      <c r="L255" s="79">
        <f t="shared" si="33"/>
        <v>0</v>
      </c>
      <c r="M255" s="50"/>
      <c r="N255" s="89">
        <v>200001010</v>
      </c>
      <c r="O255" s="90" t="s">
        <v>462</v>
      </c>
      <c r="P255" s="58" t="s">
        <v>24</v>
      </c>
      <c r="Q255" s="104"/>
      <c r="R255" s="106"/>
    </row>
    <row r="256" spans="1:26">
      <c r="A256" s="37"/>
      <c r="B256" s="154" t="s">
        <v>463</v>
      </c>
      <c r="C256" s="153" t="s">
        <v>92</v>
      </c>
      <c r="D256" s="39"/>
      <c r="E256" s="39"/>
      <c r="F256" s="50"/>
      <c r="G256" s="49"/>
      <c r="H256" s="139">
        <f t="shared" si="31"/>
        <v>0</v>
      </c>
      <c r="I256" s="139">
        <f t="shared" si="31"/>
        <v>0</v>
      </c>
      <c r="J256" s="50"/>
      <c r="K256" s="39">
        <f t="shared" si="32"/>
        <v>0</v>
      </c>
      <c r="L256" s="79">
        <f t="shared" si="33"/>
        <v>0</v>
      </c>
      <c r="M256" s="50"/>
      <c r="N256" s="89">
        <v>500002074</v>
      </c>
      <c r="O256" s="90" t="s">
        <v>464</v>
      </c>
      <c r="P256" s="58" t="s">
        <v>21</v>
      </c>
      <c r="Q256" s="104"/>
      <c r="R256" s="106"/>
      <c r="S256" s="11"/>
      <c r="T256" s="11"/>
      <c r="U256" s="11"/>
      <c r="V256" s="11"/>
      <c r="W256" s="11"/>
      <c r="X256" s="11"/>
      <c r="Y256" s="11"/>
      <c r="Z256" s="11"/>
    </row>
    <row r="257" spans="1:26">
      <c r="A257" s="37"/>
      <c r="B257" s="152" t="s">
        <v>465</v>
      </c>
      <c r="C257" s="153" t="s">
        <v>92</v>
      </c>
      <c r="D257" s="39"/>
      <c r="E257" s="39"/>
      <c r="F257" s="50"/>
      <c r="G257" s="49"/>
      <c r="H257" s="139">
        <f t="shared" si="31"/>
        <v>0</v>
      </c>
      <c r="I257" s="139">
        <f t="shared" si="31"/>
        <v>0</v>
      </c>
      <c r="J257" s="50"/>
      <c r="K257" s="39">
        <f t="shared" si="32"/>
        <v>0</v>
      </c>
      <c r="L257" s="79">
        <f t="shared" si="33"/>
        <v>0</v>
      </c>
      <c r="M257" s="50"/>
      <c r="N257" s="89">
        <v>200001020</v>
      </c>
      <c r="O257" s="90" t="s">
        <v>466</v>
      </c>
      <c r="P257" s="58" t="s">
        <v>24</v>
      </c>
      <c r="Q257" s="104"/>
      <c r="R257" s="106"/>
      <c r="S257" s="11"/>
      <c r="T257" s="11"/>
      <c r="U257" s="11"/>
      <c r="V257" s="11"/>
      <c r="W257" s="11"/>
      <c r="X257" s="11"/>
      <c r="Y257" s="11"/>
      <c r="Z257" s="11"/>
    </row>
    <row r="258" spans="1:26">
      <c r="A258" s="37"/>
      <c r="B258" s="152" t="s">
        <v>467</v>
      </c>
      <c r="C258" s="153" t="s">
        <v>92</v>
      </c>
      <c r="D258" s="39"/>
      <c r="E258" s="39"/>
      <c r="F258" s="50"/>
      <c r="G258" s="49"/>
      <c r="H258" s="139">
        <f t="shared" si="31"/>
        <v>0</v>
      </c>
      <c r="I258" s="139">
        <f t="shared" si="31"/>
        <v>0</v>
      </c>
      <c r="J258" s="50"/>
      <c r="K258" s="39">
        <f t="shared" si="32"/>
        <v>0</v>
      </c>
      <c r="L258" s="79">
        <f t="shared" si="33"/>
        <v>0</v>
      </c>
      <c r="M258" s="50"/>
      <c r="N258" s="89">
        <v>500002075</v>
      </c>
      <c r="O258" s="90" t="s">
        <v>468</v>
      </c>
      <c r="P258" s="58" t="s">
        <v>21</v>
      </c>
      <c r="Q258" s="104"/>
      <c r="R258" s="106"/>
      <c r="S258" s="11"/>
      <c r="T258" s="11"/>
      <c r="U258" s="11"/>
      <c r="V258" s="11"/>
      <c r="W258" s="11"/>
      <c r="X258" s="11"/>
      <c r="Y258" s="11"/>
      <c r="Z258" s="11"/>
    </row>
    <row r="259" spans="1:26">
      <c r="A259" s="37"/>
      <c r="B259" s="154" t="s">
        <v>469</v>
      </c>
      <c r="C259" s="153" t="s">
        <v>92</v>
      </c>
      <c r="D259" s="39"/>
      <c r="E259" s="39"/>
      <c r="F259" s="50"/>
      <c r="G259" s="49"/>
      <c r="H259" s="139">
        <f t="shared" si="31"/>
        <v>0</v>
      </c>
      <c r="I259" s="139">
        <f t="shared" si="31"/>
        <v>0</v>
      </c>
      <c r="J259" s="50"/>
      <c r="K259" s="39">
        <f t="shared" si="32"/>
        <v>0</v>
      </c>
      <c r="L259" s="79">
        <f t="shared" si="33"/>
        <v>0</v>
      </c>
      <c r="M259" s="50"/>
      <c r="N259" s="89">
        <v>200001037</v>
      </c>
      <c r="O259" s="90" t="s">
        <v>470</v>
      </c>
      <c r="P259" s="58" t="s">
        <v>24</v>
      </c>
      <c r="Q259" s="104"/>
      <c r="R259" s="106"/>
      <c r="S259" s="11"/>
      <c r="T259" s="11"/>
      <c r="U259" s="11"/>
      <c r="V259" s="11"/>
      <c r="W259" s="11"/>
      <c r="X259" s="11"/>
      <c r="Y259" s="11"/>
      <c r="Z259" s="11"/>
    </row>
    <row r="260" spans="1:26">
      <c r="A260" s="37"/>
      <c r="B260" s="154" t="s">
        <v>471</v>
      </c>
      <c r="C260" s="153" t="s">
        <v>92</v>
      </c>
      <c r="D260" s="39"/>
      <c r="E260" s="39"/>
      <c r="F260" s="50"/>
      <c r="G260" s="49"/>
      <c r="H260" s="139">
        <f t="shared" si="31"/>
        <v>0</v>
      </c>
      <c r="I260" s="139">
        <f t="shared" si="31"/>
        <v>0</v>
      </c>
      <c r="J260" s="50"/>
      <c r="K260" s="39">
        <f t="shared" si="32"/>
        <v>0</v>
      </c>
      <c r="L260" s="79">
        <f t="shared" si="33"/>
        <v>0</v>
      </c>
      <c r="M260" s="50"/>
      <c r="N260" s="89">
        <v>500002076</v>
      </c>
      <c r="O260" s="90" t="s">
        <v>472</v>
      </c>
      <c r="P260" s="58" t="s">
        <v>21</v>
      </c>
      <c r="Q260" s="104"/>
      <c r="R260" s="106"/>
      <c r="S260" s="11"/>
      <c r="T260" s="11"/>
      <c r="U260" s="11"/>
      <c r="V260" s="11"/>
      <c r="W260" s="11"/>
      <c r="X260" s="11"/>
      <c r="Y260" s="11"/>
      <c r="Z260" s="11"/>
    </row>
    <row r="261" spans="1:26" ht="38.25">
      <c r="A261" s="37" t="s">
        <v>89</v>
      </c>
      <c r="B261" s="288" t="s">
        <v>473</v>
      </c>
      <c r="C261" s="38"/>
      <c r="D261" s="39"/>
      <c r="E261" s="39"/>
      <c r="F261" s="50"/>
      <c r="G261" s="49"/>
      <c r="H261" s="139">
        <f t="shared" si="31"/>
        <v>0</v>
      </c>
      <c r="I261" s="139">
        <f t="shared" si="31"/>
        <v>0</v>
      </c>
      <c r="J261" s="50"/>
      <c r="K261" s="39">
        <f t="shared" si="32"/>
        <v>0</v>
      </c>
      <c r="L261" s="79">
        <f t="shared" si="33"/>
        <v>0</v>
      </c>
      <c r="M261" s="50"/>
      <c r="N261" s="29"/>
      <c r="O261" s="29"/>
      <c r="P261" s="50"/>
      <c r="Q261" s="105"/>
      <c r="R261" s="106"/>
      <c r="S261" s="11"/>
      <c r="T261" s="11"/>
      <c r="U261" s="11"/>
      <c r="V261" s="11"/>
      <c r="W261" s="11"/>
      <c r="X261" s="11"/>
      <c r="Y261" s="11"/>
      <c r="Z261" s="11"/>
    </row>
    <row r="262" spans="1:26">
      <c r="A262" s="37"/>
      <c r="B262" s="152" t="s">
        <v>474</v>
      </c>
      <c r="C262" s="153" t="s">
        <v>92</v>
      </c>
      <c r="D262" s="39"/>
      <c r="E262" s="39"/>
      <c r="F262" s="50"/>
      <c r="G262" s="49"/>
      <c r="H262" s="139">
        <f t="shared" si="31"/>
        <v>0</v>
      </c>
      <c r="I262" s="139">
        <f t="shared" si="31"/>
        <v>0</v>
      </c>
      <c r="J262" s="50"/>
      <c r="K262" s="39">
        <f t="shared" si="32"/>
        <v>0</v>
      </c>
      <c r="L262" s="79">
        <f t="shared" si="33"/>
        <v>0</v>
      </c>
      <c r="M262" s="50"/>
      <c r="N262" s="89">
        <v>200001029</v>
      </c>
      <c r="O262" s="90" t="s">
        <v>475</v>
      </c>
      <c r="P262" s="58" t="s">
        <v>24</v>
      </c>
      <c r="Q262" s="104"/>
      <c r="R262" s="106"/>
      <c r="S262" s="11"/>
      <c r="T262" s="11"/>
      <c r="U262" s="11"/>
      <c r="V262" s="11"/>
      <c r="W262" s="11"/>
      <c r="X262" s="11"/>
      <c r="Y262" s="11"/>
      <c r="Z262" s="11"/>
    </row>
    <row r="263" spans="1:26">
      <c r="A263" s="37"/>
      <c r="B263" s="152" t="s">
        <v>476</v>
      </c>
      <c r="C263" s="153" t="s">
        <v>92</v>
      </c>
      <c r="D263" s="39"/>
      <c r="E263" s="39"/>
      <c r="F263" s="50"/>
      <c r="G263" s="49"/>
      <c r="H263" s="139">
        <f t="shared" si="31"/>
        <v>0</v>
      </c>
      <c r="I263" s="139">
        <f t="shared" si="31"/>
        <v>0</v>
      </c>
      <c r="J263" s="50"/>
      <c r="K263" s="39">
        <f t="shared" si="32"/>
        <v>0</v>
      </c>
      <c r="L263" s="79">
        <f t="shared" si="33"/>
        <v>0</v>
      </c>
      <c r="M263" s="50"/>
      <c r="N263" s="89">
        <v>500002077</v>
      </c>
      <c r="O263" s="90" t="s">
        <v>477</v>
      </c>
      <c r="P263" s="58" t="s">
        <v>21</v>
      </c>
      <c r="Q263" s="104"/>
      <c r="R263" s="106"/>
      <c r="S263" s="11"/>
      <c r="T263" s="11"/>
      <c r="U263" s="11"/>
      <c r="V263" s="11"/>
      <c r="W263" s="11"/>
      <c r="X263" s="11"/>
      <c r="Y263" s="11"/>
      <c r="Z263" s="11"/>
    </row>
    <row r="264" spans="1:26">
      <c r="A264" s="37"/>
      <c r="B264" s="154" t="s">
        <v>478</v>
      </c>
      <c r="C264" s="153" t="s">
        <v>92</v>
      </c>
      <c r="D264" s="39"/>
      <c r="E264" s="39"/>
      <c r="F264" s="50"/>
      <c r="G264" s="49"/>
      <c r="H264" s="139">
        <f t="shared" si="31"/>
        <v>0</v>
      </c>
      <c r="I264" s="139">
        <f t="shared" si="31"/>
        <v>0</v>
      </c>
      <c r="J264" s="50"/>
      <c r="K264" s="39">
        <f t="shared" si="32"/>
        <v>0</v>
      </c>
      <c r="L264" s="79">
        <f t="shared" si="33"/>
        <v>0</v>
      </c>
      <c r="M264" s="50"/>
      <c r="N264" s="89">
        <v>200001026</v>
      </c>
      <c r="O264" s="90" t="s">
        <v>479</v>
      </c>
      <c r="P264" s="58" t="s">
        <v>24</v>
      </c>
      <c r="Q264" s="104"/>
      <c r="R264" s="106"/>
      <c r="S264" s="11"/>
      <c r="T264" s="11"/>
      <c r="U264" s="11"/>
      <c r="V264" s="11"/>
      <c r="W264" s="11"/>
      <c r="X264" s="11"/>
      <c r="Y264" s="11"/>
      <c r="Z264" s="11"/>
    </row>
    <row r="265" spans="1:26">
      <c r="A265" s="37"/>
      <c r="B265" s="154" t="s">
        <v>480</v>
      </c>
      <c r="C265" s="153" t="s">
        <v>92</v>
      </c>
      <c r="D265" s="39"/>
      <c r="E265" s="39"/>
      <c r="F265" s="50"/>
      <c r="G265" s="49"/>
      <c r="H265" s="139">
        <f t="shared" si="31"/>
        <v>0</v>
      </c>
      <c r="I265" s="139">
        <f t="shared" si="31"/>
        <v>0</v>
      </c>
      <c r="J265" s="50"/>
      <c r="K265" s="39">
        <f t="shared" si="32"/>
        <v>0</v>
      </c>
      <c r="L265" s="79">
        <f t="shared" si="33"/>
        <v>0</v>
      </c>
      <c r="M265" s="50"/>
      <c r="N265" s="89">
        <v>500002078</v>
      </c>
      <c r="O265" s="90" t="s">
        <v>481</v>
      </c>
      <c r="P265" s="58" t="s">
        <v>21</v>
      </c>
      <c r="Q265" s="104"/>
      <c r="R265" s="106"/>
      <c r="S265" s="11"/>
      <c r="T265" s="11"/>
      <c r="U265" s="11"/>
      <c r="V265" s="11"/>
      <c r="W265" s="11"/>
      <c r="X265" s="11"/>
      <c r="Y265" s="11"/>
      <c r="Z265" s="11"/>
    </row>
    <row r="266" spans="1:26">
      <c r="A266" s="37"/>
      <c r="B266" s="152" t="s">
        <v>482</v>
      </c>
      <c r="C266" s="153" t="s">
        <v>92</v>
      </c>
      <c r="D266" s="39"/>
      <c r="E266" s="39"/>
      <c r="F266" s="50"/>
      <c r="G266" s="49"/>
      <c r="H266" s="139">
        <f t="shared" si="31"/>
        <v>0</v>
      </c>
      <c r="I266" s="139">
        <f t="shared" si="31"/>
        <v>0</v>
      </c>
      <c r="J266" s="50"/>
      <c r="K266" s="39">
        <f t="shared" si="32"/>
        <v>0</v>
      </c>
      <c r="L266" s="79">
        <f t="shared" si="33"/>
        <v>0</v>
      </c>
      <c r="M266" s="50"/>
      <c r="N266" s="89">
        <v>200000990</v>
      </c>
      <c r="O266" s="90" t="s">
        <v>483</v>
      </c>
      <c r="P266" s="58" t="s">
        <v>24</v>
      </c>
      <c r="Q266" s="104"/>
      <c r="R266" s="106"/>
      <c r="S266" s="11"/>
      <c r="T266" s="11"/>
      <c r="U266" s="11"/>
      <c r="V266" s="11"/>
      <c r="W266" s="11"/>
      <c r="X266" s="11"/>
      <c r="Y266" s="11"/>
      <c r="Z266" s="11"/>
    </row>
    <row r="267" spans="1:26">
      <c r="A267" s="37"/>
      <c r="B267" s="152" t="s">
        <v>484</v>
      </c>
      <c r="C267" s="153" t="s">
        <v>92</v>
      </c>
      <c r="D267" s="39"/>
      <c r="E267" s="39"/>
      <c r="F267" s="50"/>
      <c r="G267" s="49"/>
      <c r="H267" s="139">
        <f t="shared" si="31"/>
        <v>0</v>
      </c>
      <c r="I267" s="139">
        <f t="shared" si="31"/>
        <v>0</v>
      </c>
      <c r="J267" s="50"/>
      <c r="K267" s="39">
        <f t="shared" si="32"/>
        <v>0</v>
      </c>
      <c r="L267" s="79">
        <f t="shared" si="33"/>
        <v>0</v>
      </c>
      <c r="M267" s="50"/>
      <c r="N267" s="89">
        <v>500002079</v>
      </c>
      <c r="O267" s="90" t="s">
        <v>485</v>
      </c>
      <c r="P267" s="58" t="s">
        <v>21</v>
      </c>
      <c r="Q267" s="104"/>
      <c r="R267" s="106"/>
      <c r="S267" s="11"/>
      <c r="T267" s="11"/>
      <c r="U267" s="11"/>
      <c r="V267" s="11"/>
      <c r="W267" s="11"/>
      <c r="X267" s="11"/>
      <c r="Y267" s="11"/>
      <c r="Z267" s="11"/>
    </row>
    <row r="268" spans="1:26">
      <c r="A268" s="37"/>
      <c r="B268" s="154" t="s">
        <v>461</v>
      </c>
      <c r="C268" s="153" t="s">
        <v>92</v>
      </c>
      <c r="D268" s="39"/>
      <c r="E268" s="39"/>
      <c r="F268" s="50"/>
      <c r="G268" s="49"/>
      <c r="H268" s="139">
        <f t="shared" si="31"/>
        <v>0</v>
      </c>
      <c r="I268" s="139">
        <f t="shared" si="31"/>
        <v>0</v>
      </c>
      <c r="J268" s="50"/>
      <c r="K268" s="39">
        <f t="shared" si="32"/>
        <v>0</v>
      </c>
      <c r="L268" s="79">
        <f t="shared" si="33"/>
        <v>0</v>
      </c>
      <c r="M268" s="50"/>
      <c r="N268" s="89">
        <v>200001019</v>
      </c>
      <c r="O268" s="90" t="s">
        <v>486</v>
      </c>
      <c r="P268" s="58" t="s">
        <v>24</v>
      </c>
      <c r="Q268" s="104"/>
      <c r="R268" s="106"/>
      <c r="S268" s="11"/>
      <c r="T268" s="11"/>
      <c r="U268" s="11"/>
      <c r="V268" s="11"/>
      <c r="W268" s="11"/>
      <c r="X268" s="11"/>
      <c r="Y268" s="11"/>
      <c r="Z268" s="11"/>
    </row>
    <row r="269" spans="1:26">
      <c r="A269" s="37"/>
      <c r="B269" s="154" t="s">
        <v>463</v>
      </c>
      <c r="C269" s="153" t="s">
        <v>92</v>
      </c>
      <c r="D269" s="39"/>
      <c r="E269" s="39"/>
      <c r="F269" s="50"/>
      <c r="G269" s="49"/>
      <c r="H269" s="139">
        <f t="shared" si="31"/>
        <v>0</v>
      </c>
      <c r="I269" s="139">
        <f t="shared" si="31"/>
        <v>0</v>
      </c>
      <c r="J269" s="50"/>
      <c r="K269" s="39">
        <f t="shared" si="32"/>
        <v>0</v>
      </c>
      <c r="L269" s="79">
        <f t="shared" si="33"/>
        <v>0</v>
      </c>
      <c r="M269" s="50"/>
      <c r="N269" s="89">
        <v>500002080</v>
      </c>
      <c r="O269" s="90" t="s">
        <v>487</v>
      </c>
      <c r="P269" s="58" t="s">
        <v>21</v>
      </c>
      <c r="Q269" s="104"/>
      <c r="R269" s="106"/>
      <c r="S269" s="11"/>
      <c r="T269" s="11"/>
      <c r="U269" s="11"/>
      <c r="V269" s="11"/>
      <c r="W269" s="11"/>
      <c r="X269" s="11"/>
      <c r="Y269" s="11"/>
      <c r="Z269" s="11"/>
    </row>
    <row r="270" spans="1:26">
      <c r="A270" s="37" t="s">
        <v>96</v>
      </c>
      <c r="B270" s="62" t="s">
        <v>488</v>
      </c>
      <c r="C270" s="38"/>
      <c r="D270" s="39"/>
      <c r="E270" s="39"/>
      <c r="F270" s="50"/>
      <c r="G270" s="49"/>
      <c r="H270" s="139">
        <f t="shared" si="31"/>
        <v>0</v>
      </c>
      <c r="I270" s="139">
        <f t="shared" si="31"/>
        <v>0</v>
      </c>
      <c r="J270" s="50"/>
      <c r="K270" s="39">
        <f t="shared" si="32"/>
        <v>0</v>
      </c>
      <c r="L270" s="79">
        <f t="shared" si="33"/>
        <v>0</v>
      </c>
      <c r="M270" s="50"/>
      <c r="N270" s="29"/>
      <c r="O270" s="29"/>
      <c r="P270" s="50"/>
      <c r="Q270" s="105"/>
      <c r="R270" s="106"/>
      <c r="S270" s="11"/>
      <c r="T270" s="11"/>
      <c r="U270" s="11"/>
      <c r="V270" s="11"/>
      <c r="W270" s="11"/>
      <c r="X270" s="11"/>
      <c r="Y270" s="11"/>
      <c r="Z270" s="11"/>
    </row>
    <row r="271" spans="1:26">
      <c r="A271" s="37"/>
      <c r="B271" s="62" t="s">
        <v>489</v>
      </c>
      <c r="C271" s="133" t="s">
        <v>148</v>
      </c>
      <c r="D271" s="39"/>
      <c r="E271" s="39"/>
      <c r="F271" s="50"/>
      <c r="G271" s="49"/>
      <c r="H271" s="139">
        <f t="shared" si="31"/>
        <v>0</v>
      </c>
      <c r="I271" s="139">
        <f t="shared" si="31"/>
        <v>0</v>
      </c>
      <c r="J271" s="50"/>
      <c r="K271" s="39">
        <f t="shared" si="32"/>
        <v>0</v>
      </c>
      <c r="L271" s="79">
        <f t="shared" si="33"/>
        <v>0</v>
      </c>
      <c r="M271" s="50"/>
      <c r="N271" s="89">
        <v>100000187</v>
      </c>
      <c r="O271" s="129" t="s">
        <v>490</v>
      </c>
      <c r="P271" s="58" t="s">
        <v>24</v>
      </c>
      <c r="Q271" s="104"/>
      <c r="R271" s="97"/>
      <c r="S271" s="11"/>
      <c r="T271" s="11"/>
      <c r="U271" s="11"/>
      <c r="V271" s="11"/>
      <c r="W271" s="11"/>
      <c r="X271" s="11"/>
      <c r="Y271" s="11"/>
      <c r="Z271" s="11"/>
    </row>
    <row r="272" spans="1:26">
      <c r="A272" s="37"/>
      <c r="B272" s="62" t="s">
        <v>491</v>
      </c>
      <c r="C272" s="133" t="s">
        <v>148</v>
      </c>
      <c r="D272" s="39"/>
      <c r="E272" s="39"/>
      <c r="F272" s="50"/>
      <c r="G272" s="49"/>
      <c r="H272" s="139">
        <f t="shared" si="31"/>
        <v>0</v>
      </c>
      <c r="I272" s="139">
        <f t="shared" si="31"/>
        <v>0</v>
      </c>
      <c r="J272" s="50"/>
      <c r="K272" s="39">
        <f t="shared" si="32"/>
        <v>0</v>
      </c>
      <c r="L272" s="79">
        <f t="shared" si="33"/>
        <v>0</v>
      </c>
      <c r="M272" s="50"/>
      <c r="N272" s="89">
        <v>100000188</v>
      </c>
      <c r="O272" s="90" t="s">
        <v>492</v>
      </c>
      <c r="P272" s="58" t="s">
        <v>24</v>
      </c>
      <c r="Q272" s="104"/>
      <c r="R272" s="97"/>
    </row>
    <row r="273" spans="1:26">
      <c r="A273" s="37"/>
      <c r="B273" s="62" t="s">
        <v>493</v>
      </c>
      <c r="C273" s="133" t="s">
        <v>148</v>
      </c>
      <c r="D273" s="39"/>
      <c r="E273" s="39"/>
      <c r="F273" s="50"/>
      <c r="G273" s="49"/>
      <c r="H273" s="139">
        <f t="shared" si="31"/>
        <v>0</v>
      </c>
      <c r="I273" s="139">
        <f t="shared" si="31"/>
        <v>0</v>
      </c>
      <c r="J273" s="50"/>
      <c r="K273" s="39">
        <f t="shared" si="32"/>
        <v>0</v>
      </c>
      <c r="L273" s="79">
        <f t="shared" si="33"/>
        <v>0</v>
      </c>
      <c r="M273" s="50"/>
      <c r="N273" s="89">
        <v>100000189</v>
      </c>
      <c r="O273" s="90" t="s">
        <v>494</v>
      </c>
      <c r="P273" s="58" t="s">
        <v>24</v>
      </c>
      <c r="Q273" s="104"/>
      <c r="R273" s="97"/>
    </row>
    <row r="274" spans="1:26">
      <c r="A274" s="37"/>
      <c r="B274" s="62" t="s">
        <v>495</v>
      </c>
      <c r="C274" s="133" t="s">
        <v>148</v>
      </c>
      <c r="D274" s="39"/>
      <c r="E274" s="39"/>
      <c r="F274" s="50"/>
      <c r="G274" s="49"/>
      <c r="H274" s="139">
        <f t="shared" si="31"/>
        <v>0</v>
      </c>
      <c r="I274" s="139">
        <f t="shared" si="31"/>
        <v>0</v>
      </c>
      <c r="J274" s="50"/>
      <c r="K274" s="39">
        <f t="shared" si="32"/>
        <v>0</v>
      </c>
      <c r="L274" s="79">
        <f t="shared" si="33"/>
        <v>0</v>
      </c>
      <c r="M274" s="50"/>
      <c r="N274" s="89">
        <v>100000820</v>
      </c>
      <c r="O274" s="90" t="s">
        <v>496</v>
      </c>
      <c r="P274" s="58" t="s">
        <v>24</v>
      </c>
      <c r="Q274" s="104"/>
      <c r="R274" s="97"/>
    </row>
    <row r="275" spans="1:26">
      <c r="A275" s="37"/>
      <c r="B275" s="62" t="s">
        <v>497</v>
      </c>
      <c r="C275" s="133" t="s">
        <v>148</v>
      </c>
      <c r="D275" s="39"/>
      <c r="E275" s="39"/>
      <c r="F275" s="50"/>
      <c r="G275" s="49"/>
      <c r="H275" s="139">
        <f t="shared" si="31"/>
        <v>0</v>
      </c>
      <c r="I275" s="139">
        <f t="shared" si="31"/>
        <v>0</v>
      </c>
      <c r="J275" s="50"/>
      <c r="K275" s="39">
        <f t="shared" si="32"/>
        <v>0</v>
      </c>
      <c r="L275" s="79">
        <f t="shared" si="33"/>
        <v>0</v>
      </c>
      <c r="M275" s="50"/>
      <c r="N275" s="89">
        <v>100000821</v>
      </c>
      <c r="O275" s="90" t="s">
        <v>498</v>
      </c>
      <c r="P275" s="58" t="s">
        <v>24</v>
      </c>
      <c r="Q275" s="104"/>
      <c r="R275" s="97"/>
    </row>
    <row r="276" spans="1:26">
      <c r="A276" s="37" t="s">
        <v>102</v>
      </c>
      <c r="B276" s="62" t="s">
        <v>499</v>
      </c>
      <c r="C276" s="133"/>
      <c r="D276" s="39"/>
      <c r="E276" s="39"/>
      <c r="F276" s="50"/>
      <c r="G276" s="49"/>
      <c r="H276" s="139">
        <f t="shared" si="31"/>
        <v>0</v>
      </c>
      <c r="I276" s="139">
        <f t="shared" si="31"/>
        <v>0</v>
      </c>
      <c r="J276" s="50"/>
      <c r="K276" s="39">
        <f t="shared" si="32"/>
        <v>0</v>
      </c>
      <c r="L276" s="79">
        <f t="shared" si="33"/>
        <v>0</v>
      </c>
      <c r="M276" s="50"/>
      <c r="N276" s="29"/>
      <c r="O276" s="29"/>
      <c r="P276" s="50"/>
      <c r="Q276" s="105"/>
      <c r="R276" s="106"/>
    </row>
    <row r="277" spans="1:26">
      <c r="A277" s="37"/>
      <c r="B277" s="62" t="s">
        <v>500</v>
      </c>
      <c r="C277" s="38" t="s">
        <v>148</v>
      </c>
      <c r="D277" s="39"/>
      <c r="E277" s="39"/>
      <c r="F277" s="50"/>
      <c r="G277" s="49"/>
      <c r="H277" s="139">
        <f t="shared" si="31"/>
        <v>0</v>
      </c>
      <c r="I277" s="139">
        <f t="shared" si="31"/>
        <v>0</v>
      </c>
      <c r="J277" s="50"/>
      <c r="K277" s="39">
        <f t="shared" si="32"/>
        <v>0</v>
      </c>
      <c r="L277" s="79">
        <f t="shared" si="33"/>
        <v>0</v>
      </c>
      <c r="M277" s="50"/>
      <c r="N277" s="93">
        <v>200000069</v>
      </c>
      <c r="O277" s="57" t="s">
        <v>501</v>
      </c>
      <c r="P277" s="58" t="s">
        <v>24</v>
      </c>
      <c r="Q277" s="104"/>
      <c r="R277" s="97"/>
    </row>
    <row r="278" spans="1:26">
      <c r="A278" s="37"/>
      <c r="B278" s="62" t="s">
        <v>502</v>
      </c>
      <c r="C278" s="38" t="s">
        <v>148</v>
      </c>
      <c r="D278" s="39"/>
      <c r="E278" s="39"/>
      <c r="F278" s="50"/>
      <c r="G278" s="49"/>
      <c r="H278" s="139">
        <f t="shared" si="31"/>
        <v>0</v>
      </c>
      <c r="I278" s="139">
        <f t="shared" si="31"/>
        <v>0</v>
      </c>
      <c r="J278" s="50"/>
      <c r="K278" s="39">
        <f t="shared" si="32"/>
        <v>0</v>
      </c>
      <c r="L278" s="79">
        <f t="shared" si="33"/>
        <v>0</v>
      </c>
      <c r="M278" s="50"/>
      <c r="N278" s="89">
        <v>200001025</v>
      </c>
      <c r="O278" s="90" t="s">
        <v>503</v>
      </c>
      <c r="P278" s="58" t="s">
        <v>24</v>
      </c>
      <c r="Q278" s="104"/>
      <c r="R278" s="97"/>
    </row>
    <row r="279" spans="1:26">
      <c r="A279" s="37"/>
      <c r="B279" s="62" t="s">
        <v>504</v>
      </c>
      <c r="C279" s="38" t="s">
        <v>148</v>
      </c>
      <c r="D279" s="39"/>
      <c r="E279" s="39"/>
      <c r="F279" s="50"/>
      <c r="G279" s="49"/>
      <c r="H279" s="139">
        <f t="shared" si="31"/>
        <v>0</v>
      </c>
      <c r="I279" s="139">
        <f t="shared" si="31"/>
        <v>0</v>
      </c>
      <c r="J279" s="50"/>
      <c r="K279" s="39">
        <f t="shared" si="32"/>
        <v>0</v>
      </c>
      <c r="L279" s="79">
        <f t="shared" si="33"/>
        <v>0</v>
      </c>
      <c r="M279" s="50"/>
      <c r="N279" s="89">
        <v>200001024</v>
      </c>
      <c r="O279" s="90" t="s">
        <v>505</v>
      </c>
      <c r="P279" s="58" t="s">
        <v>24</v>
      </c>
      <c r="Q279" s="104"/>
      <c r="R279" s="97"/>
    </row>
    <row r="280" spans="1:26">
      <c r="A280" s="37"/>
      <c r="B280" s="62" t="s">
        <v>506</v>
      </c>
      <c r="C280" s="38" t="s">
        <v>148</v>
      </c>
      <c r="D280" s="39"/>
      <c r="E280" s="39"/>
      <c r="F280" s="50"/>
      <c r="G280" s="49"/>
      <c r="H280" s="139">
        <f t="shared" si="31"/>
        <v>0</v>
      </c>
      <c r="I280" s="139">
        <f t="shared" si="31"/>
        <v>0</v>
      </c>
      <c r="J280" s="50"/>
      <c r="K280" s="39">
        <f t="shared" si="32"/>
        <v>0</v>
      </c>
      <c r="L280" s="79">
        <f t="shared" si="33"/>
        <v>0</v>
      </c>
      <c r="M280" s="50"/>
      <c r="N280" s="89">
        <v>200000251</v>
      </c>
      <c r="O280" s="90" t="s">
        <v>507</v>
      </c>
      <c r="P280" s="58" t="s">
        <v>24</v>
      </c>
      <c r="Q280" s="104"/>
      <c r="R280" s="97"/>
    </row>
    <row r="281" spans="1:26" s="10" customFormat="1">
      <c r="A281" s="114" t="s">
        <v>508</v>
      </c>
      <c r="B281" s="114"/>
      <c r="C281" s="161"/>
      <c r="D281" s="45"/>
      <c r="E281" s="45"/>
      <c r="F281" s="162"/>
      <c r="G281" s="44"/>
      <c r="H281" s="45">
        <f>SUM(H245:H280)</f>
        <v>0</v>
      </c>
      <c r="I281" s="45">
        <f>SUM(I245:I280)</f>
        <v>0</v>
      </c>
      <c r="J281" s="45">
        <f>H281+I281</f>
        <v>0</v>
      </c>
      <c r="K281" s="162"/>
      <c r="L281" s="162"/>
      <c r="M281" s="162"/>
      <c r="N281" s="207"/>
      <c r="O281" s="207"/>
      <c r="P281" s="162"/>
      <c r="Q281" s="104"/>
      <c r="R281" s="97"/>
      <c r="S281" s="16"/>
      <c r="T281" s="16"/>
      <c r="U281" s="16"/>
      <c r="V281" s="16"/>
      <c r="W281" s="16"/>
      <c r="X281" s="16"/>
      <c r="Y281" s="16"/>
      <c r="Z281" s="16"/>
    </row>
    <row r="282" spans="1:26">
      <c r="A282" s="163"/>
      <c r="B282" s="137"/>
      <c r="C282" s="116"/>
      <c r="D282" s="188"/>
      <c r="E282" s="188"/>
      <c r="F282" s="118"/>
      <c r="G282" s="49"/>
      <c r="H282" s="118"/>
      <c r="I282" s="118"/>
      <c r="J282" s="118"/>
      <c r="K282" s="118"/>
      <c r="L282" s="118"/>
      <c r="M282" s="118"/>
      <c r="N282" s="125"/>
      <c r="O282" s="125"/>
      <c r="P282" s="208"/>
      <c r="Q282" s="104"/>
      <c r="R282" s="97"/>
    </row>
    <row r="283" spans="1:26" s="9" customFormat="1">
      <c r="A283" s="32">
        <v>2.5</v>
      </c>
      <c r="B283" s="33" t="s">
        <v>509</v>
      </c>
      <c r="C283" s="34"/>
      <c r="D283" s="35"/>
      <c r="E283" s="35"/>
      <c r="F283" s="164"/>
      <c r="G283" s="164"/>
      <c r="H283" s="164"/>
      <c r="I283" s="164"/>
      <c r="J283" s="36"/>
      <c r="K283" s="164"/>
      <c r="L283" s="164"/>
      <c r="M283" s="164"/>
      <c r="N283" s="34"/>
      <c r="O283" s="34"/>
      <c r="P283" s="164"/>
      <c r="Q283" s="221"/>
      <c r="R283" s="97"/>
      <c r="S283" s="16"/>
      <c r="T283" s="16"/>
      <c r="U283" s="16"/>
      <c r="V283" s="16"/>
      <c r="W283" s="16"/>
      <c r="X283" s="16"/>
      <c r="Y283" s="16"/>
      <c r="Z283" s="16"/>
    </row>
    <row r="284" spans="1:26">
      <c r="A284" s="37"/>
      <c r="B284" s="62" t="s">
        <v>510</v>
      </c>
      <c r="C284" s="38"/>
      <c r="D284" s="39"/>
      <c r="E284" s="39"/>
      <c r="F284" s="165"/>
      <c r="G284" s="49"/>
      <c r="H284" s="139">
        <f t="shared" ref="H284:H287" si="34">D284*F284</f>
        <v>0</v>
      </c>
      <c r="I284" s="209">
        <f>E284*G284</f>
        <v>0</v>
      </c>
      <c r="J284" s="87"/>
      <c r="K284" s="39">
        <f>D284+E284</f>
        <v>0</v>
      </c>
      <c r="L284" s="79">
        <f t="shared" ref="L284:L287" si="35">F284+G284</f>
        <v>0</v>
      </c>
      <c r="M284" s="165"/>
      <c r="N284" s="38"/>
      <c r="O284" s="38"/>
      <c r="P284" s="165"/>
      <c r="Q284" s="221"/>
      <c r="R284" s="97"/>
    </row>
    <row r="285" spans="1:26">
      <c r="A285" s="37" t="s">
        <v>511</v>
      </c>
      <c r="B285" s="57" t="s">
        <v>512</v>
      </c>
      <c r="C285" s="65" t="s">
        <v>155</v>
      </c>
      <c r="D285" s="39"/>
      <c r="E285" s="39"/>
      <c r="F285" s="58"/>
      <c r="G285" s="88"/>
      <c r="H285" s="139">
        <f t="shared" si="34"/>
        <v>0</v>
      </c>
      <c r="I285" s="209">
        <f>E285*G285</f>
        <v>0</v>
      </c>
      <c r="J285" s="87"/>
      <c r="K285" s="39">
        <f t="shared" ref="K285:K287" si="36">D285+E285</f>
        <v>0</v>
      </c>
      <c r="L285" s="79">
        <f t="shared" si="35"/>
        <v>0</v>
      </c>
      <c r="M285" s="165"/>
      <c r="N285" s="89">
        <v>500002085</v>
      </c>
      <c r="O285" s="90" t="s">
        <v>513</v>
      </c>
      <c r="P285" s="58" t="s">
        <v>21</v>
      </c>
      <c r="Q285" s="104"/>
      <c r="R285" s="97"/>
    </row>
    <row r="286" spans="1:26">
      <c r="A286" s="64" t="s">
        <v>514</v>
      </c>
      <c r="B286" s="57" t="s">
        <v>515</v>
      </c>
      <c r="C286" s="65" t="s">
        <v>155</v>
      </c>
      <c r="D286" s="39"/>
      <c r="E286" s="39"/>
      <c r="F286" s="58"/>
      <c r="G286" s="40"/>
      <c r="H286" s="139">
        <f t="shared" si="34"/>
        <v>0</v>
      </c>
      <c r="I286" s="209">
        <f>E286*G286</f>
        <v>0</v>
      </c>
      <c r="J286" s="87"/>
      <c r="K286" s="39">
        <f t="shared" si="36"/>
        <v>0</v>
      </c>
      <c r="L286" s="79">
        <f t="shared" si="35"/>
        <v>0</v>
      </c>
      <c r="M286" s="141"/>
      <c r="N286" s="89">
        <v>500002106</v>
      </c>
      <c r="O286" s="90" t="s">
        <v>516</v>
      </c>
      <c r="P286" s="58" t="s">
        <v>21</v>
      </c>
      <c r="Q286" s="104"/>
      <c r="R286" s="97"/>
    </row>
    <row r="287" spans="1:26">
      <c r="A287" s="64" t="s">
        <v>517</v>
      </c>
      <c r="B287" s="57" t="s">
        <v>518</v>
      </c>
      <c r="C287" s="65" t="s">
        <v>155</v>
      </c>
      <c r="D287" s="39"/>
      <c r="E287" s="241">
        <f>SUM('BoM CLUSTER UG'!C94:L94)</f>
        <v>0</v>
      </c>
      <c r="F287" s="88"/>
      <c r="G287" s="40"/>
      <c r="H287" s="139">
        <f t="shared" si="34"/>
        <v>0</v>
      </c>
      <c r="I287" s="209">
        <f>E287*G287</f>
        <v>0</v>
      </c>
      <c r="J287" s="87"/>
      <c r="K287" s="39">
        <f t="shared" si="36"/>
        <v>0</v>
      </c>
      <c r="L287" s="79">
        <f t="shared" si="35"/>
        <v>0</v>
      </c>
      <c r="M287" s="141"/>
      <c r="N287" s="89">
        <v>500002107</v>
      </c>
      <c r="O287" s="90" t="s">
        <v>519</v>
      </c>
      <c r="P287" s="58" t="s">
        <v>21</v>
      </c>
      <c r="Q287" s="104"/>
      <c r="R287" s="97"/>
    </row>
    <row r="288" spans="1:26" s="10" customFormat="1">
      <c r="A288" s="114" t="s">
        <v>520</v>
      </c>
      <c r="B288" s="114"/>
      <c r="C288" s="166"/>
      <c r="D288" s="45"/>
      <c r="E288" s="45"/>
      <c r="F288" s="167"/>
      <c r="G288" s="44"/>
      <c r="H288" s="45">
        <f>SUM(H284:H287)</f>
        <v>0</v>
      </c>
      <c r="I288" s="210">
        <f>SUM(I284:I287)</f>
        <v>0</v>
      </c>
      <c r="J288" s="171">
        <f>H288+I288</f>
        <v>0</v>
      </c>
      <c r="K288" s="210"/>
      <c r="L288" s="210"/>
      <c r="M288" s="167"/>
      <c r="N288" s="114"/>
      <c r="O288" s="166"/>
      <c r="P288" s="167"/>
      <c r="Q288" s="222"/>
      <c r="R288" s="106"/>
      <c r="S288" s="16"/>
      <c r="T288" s="16"/>
      <c r="U288" s="16"/>
      <c r="V288" s="16"/>
      <c r="W288" s="16"/>
      <c r="X288" s="16"/>
      <c r="Y288" s="16"/>
      <c r="Z288" s="16"/>
    </row>
    <row r="289" spans="1:26">
      <c r="A289" s="37"/>
      <c r="B289" s="168"/>
      <c r="C289" s="117"/>
      <c r="D289" s="188"/>
      <c r="E289" s="188"/>
      <c r="F289" s="118"/>
      <c r="G289" s="49"/>
      <c r="H289" s="169"/>
      <c r="I289" s="169"/>
      <c r="J289" s="169"/>
      <c r="K289" s="169"/>
      <c r="L289" s="169"/>
      <c r="M289" s="124"/>
      <c r="N289" s="117"/>
      <c r="O289" s="117"/>
      <c r="P289" s="126"/>
      <c r="Q289" s="104"/>
      <c r="R289" s="97"/>
    </row>
    <row r="290" spans="1:26" s="9" customFormat="1">
      <c r="A290" s="32">
        <v>2.6</v>
      </c>
      <c r="B290" s="33" t="s">
        <v>521</v>
      </c>
      <c r="C290" s="34"/>
      <c r="D290" s="35"/>
      <c r="E290" s="35"/>
      <c r="F290" s="34"/>
      <c r="G290" s="34"/>
      <c r="H290" s="34"/>
      <c r="I290" s="34"/>
      <c r="J290" s="78"/>
      <c r="K290" s="34"/>
      <c r="L290" s="34"/>
      <c r="M290" s="36"/>
      <c r="N290" s="78"/>
      <c r="O290" s="78"/>
      <c r="P290" s="36"/>
      <c r="Q290" s="104"/>
      <c r="R290" s="97"/>
      <c r="S290" s="16"/>
      <c r="T290" s="16"/>
      <c r="U290" s="16"/>
      <c r="V290" s="16"/>
      <c r="W290" s="16"/>
      <c r="X290" s="16"/>
      <c r="Y290" s="16"/>
      <c r="Z290" s="16"/>
    </row>
    <row r="291" spans="1:26">
      <c r="A291" s="64" t="s">
        <v>30</v>
      </c>
      <c r="B291" s="63" t="s">
        <v>522</v>
      </c>
      <c r="C291" s="170" t="s">
        <v>33</v>
      </c>
      <c r="D291" s="39"/>
      <c r="E291" s="241">
        <f>SUM('BoM CLUSTER UG'!C100:L100)</f>
        <v>0</v>
      </c>
      <c r="F291" s="58"/>
      <c r="G291" s="40"/>
      <c r="H291" s="139">
        <f>D291*F291</f>
        <v>0</v>
      </c>
      <c r="I291" s="49">
        <f>E291*G291</f>
        <v>0</v>
      </c>
      <c r="J291" s="49"/>
      <c r="K291" s="39">
        <f>D291+E291</f>
        <v>0</v>
      </c>
      <c r="L291" s="79">
        <f>F291+G291</f>
        <v>0</v>
      </c>
      <c r="M291" s="141"/>
      <c r="N291" s="64">
        <v>500001519</v>
      </c>
      <c r="O291" s="127" t="s">
        <v>523</v>
      </c>
      <c r="P291" s="141"/>
      <c r="Q291" s="104"/>
      <c r="R291" s="97"/>
    </row>
    <row r="292" spans="1:26" ht="25.5">
      <c r="A292" s="37" t="s">
        <v>62</v>
      </c>
      <c r="B292" s="63" t="s">
        <v>524</v>
      </c>
      <c r="C292" s="170" t="s">
        <v>525</v>
      </c>
      <c r="D292" s="39"/>
      <c r="E292" s="241">
        <v>1</v>
      </c>
      <c r="F292" s="58"/>
      <c r="G292" s="40"/>
      <c r="H292" s="139">
        <f>D292*F292</f>
        <v>0</v>
      </c>
      <c r="I292" s="49">
        <f>E292*G292</f>
        <v>0</v>
      </c>
      <c r="J292" s="49"/>
      <c r="K292" s="39">
        <f>D292+E292</f>
        <v>1</v>
      </c>
      <c r="L292" s="79">
        <f>F292+G292</f>
        <v>0</v>
      </c>
      <c r="M292" s="141"/>
      <c r="N292" s="310">
        <v>500002108</v>
      </c>
      <c r="O292" s="80" t="s">
        <v>526</v>
      </c>
      <c r="P292" s="58" t="s">
        <v>21</v>
      </c>
      <c r="Q292" s="104"/>
      <c r="R292" s="97"/>
    </row>
    <row r="293" spans="1:26" s="10" customFormat="1">
      <c r="A293" s="114" t="s">
        <v>527</v>
      </c>
      <c r="B293" s="114"/>
      <c r="C293" s="114"/>
      <c r="D293" s="45"/>
      <c r="E293" s="45"/>
      <c r="F293" s="45"/>
      <c r="G293" s="171"/>
      <c r="H293" s="171">
        <f>SUM(H291:H292)</f>
        <v>0</v>
      </c>
      <c r="I293" s="171">
        <f>SUM(I291:I292)</f>
        <v>0</v>
      </c>
      <c r="J293" s="171">
        <f>H293+I293</f>
        <v>0</v>
      </c>
      <c r="K293" s="171"/>
      <c r="L293" s="171"/>
      <c r="M293" s="45"/>
      <c r="N293" s="123"/>
      <c r="O293" s="123"/>
      <c r="P293" s="45"/>
      <c r="Q293" s="105"/>
      <c r="R293" s="106"/>
      <c r="S293" s="16"/>
      <c r="T293" s="16"/>
      <c r="U293" s="16"/>
      <c r="V293" s="16"/>
      <c r="W293" s="16"/>
      <c r="X293" s="16"/>
      <c r="Y293" s="16"/>
      <c r="Z293" s="16"/>
    </row>
    <row r="294" spans="1:26">
      <c r="A294" s="37"/>
      <c r="B294" s="168"/>
      <c r="C294" s="116"/>
      <c r="D294" s="188"/>
      <c r="E294" s="188"/>
      <c r="F294" s="118"/>
      <c r="G294" s="169"/>
      <c r="H294" s="169"/>
      <c r="I294" s="169"/>
      <c r="J294" s="169"/>
      <c r="K294" s="169"/>
      <c r="L294" s="169"/>
      <c r="M294" s="118"/>
      <c r="N294" s="125"/>
      <c r="O294" s="125"/>
      <c r="P294" s="208"/>
      <c r="Q294" s="104"/>
      <c r="R294" s="97"/>
    </row>
    <row r="295" spans="1:26" s="9" customFormat="1">
      <c r="A295" s="32">
        <v>3</v>
      </c>
      <c r="B295" s="33" t="s">
        <v>528</v>
      </c>
      <c r="C295" s="34"/>
      <c r="D295" s="35"/>
      <c r="E295" s="35"/>
      <c r="F295" s="34"/>
      <c r="G295" s="34"/>
      <c r="H295" s="34"/>
      <c r="I295" s="34"/>
      <c r="J295" s="78"/>
      <c r="K295" s="34"/>
      <c r="L295" s="34"/>
      <c r="M295" s="36"/>
      <c r="N295" s="78"/>
      <c r="O295" s="78"/>
      <c r="P295" s="36"/>
      <c r="Q295" s="104"/>
      <c r="R295" s="97"/>
      <c r="S295" s="16"/>
      <c r="T295" s="16"/>
      <c r="U295" s="16"/>
      <c r="V295" s="16"/>
      <c r="W295" s="16"/>
      <c r="X295" s="16"/>
      <c r="Y295" s="16"/>
      <c r="Z295" s="16"/>
    </row>
    <row r="296" spans="1:26">
      <c r="A296" s="37" t="s">
        <v>30</v>
      </c>
      <c r="B296" s="172" t="s">
        <v>529</v>
      </c>
      <c r="C296" s="38" t="s">
        <v>33</v>
      </c>
      <c r="D296" s="39"/>
      <c r="E296" s="242">
        <f>SUM('BoM CLUSTER UG'!C101:L101)</f>
        <v>0</v>
      </c>
      <c r="F296" s="58"/>
      <c r="G296" s="40"/>
      <c r="H296" s="139">
        <f>D296*F296</f>
        <v>0</v>
      </c>
      <c r="I296" s="49">
        <f>E296*G296</f>
        <v>0</v>
      </c>
      <c r="J296" s="49"/>
      <c r="K296" s="39">
        <f>D296+E296</f>
        <v>0</v>
      </c>
      <c r="L296" s="79">
        <f t="shared" ref="L296" si="37">F296+G296</f>
        <v>0</v>
      </c>
      <c r="M296" s="58"/>
      <c r="N296" s="38">
        <v>500001887</v>
      </c>
      <c r="O296" s="172" t="s">
        <v>530</v>
      </c>
      <c r="P296" s="58" t="s">
        <v>21</v>
      </c>
      <c r="Q296" s="104"/>
      <c r="R296" s="97"/>
    </row>
    <row r="297" spans="1:26" s="10" customFormat="1">
      <c r="A297" s="114" t="s">
        <v>531</v>
      </c>
      <c r="B297" s="114"/>
      <c r="C297" s="114"/>
      <c r="D297" s="45"/>
      <c r="F297" s="45"/>
      <c r="G297" s="299"/>
      <c r="H297" s="171">
        <f>SUM(H296)</f>
        <v>0</v>
      </c>
      <c r="I297" s="171">
        <f>SUM(I296)</f>
        <v>0</v>
      </c>
      <c r="J297" s="171">
        <f>H297+I297</f>
        <v>0</v>
      </c>
      <c r="K297" s="171"/>
      <c r="L297" s="171"/>
      <c r="M297" s="45"/>
      <c r="N297" s="123"/>
      <c r="O297" s="123"/>
      <c r="P297" s="45"/>
      <c r="Q297" s="105"/>
      <c r="R297" s="106"/>
      <c r="S297" s="16"/>
      <c r="T297" s="16"/>
      <c r="U297" s="16"/>
      <c r="V297" s="16"/>
      <c r="W297" s="16"/>
      <c r="X297" s="16"/>
      <c r="Y297" s="16"/>
      <c r="Z297" s="16"/>
    </row>
    <row r="298" spans="1:26">
      <c r="A298" s="173"/>
      <c r="B298" s="174"/>
      <c r="C298" s="175"/>
      <c r="D298" s="188"/>
      <c r="E298" s="188"/>
      <c r="F298" s="176"/>
      <c r="G298" s="177"/>
      <c r="H298" s="177"/>
      <c r="I298" s="177"/>
      <c r="J298" s="177"/>
      <c r="K298" s="177"/>
      <c r="L298" s="177"/>
      <c r="M298" s="182"/>
      <c r="N298" s="175"/>
      <c r="O298" s="175"/>
      <c r="P298" s="211"/>
      <c r="Q298" s="223"/>
      <c r="R298" s="224"/>
    </row>
    <row r="299" spans="1:26" s="9" customFormat="1">
      <c r="A299" s="32">
        <v>4</v>
      </c>
      <c r="B299" s="178" t="s">
        <v>532</v>
      </c>
      <c r="C299" s="78"/>
      <c r="D299" s="35"/>
      <c r="E299" s="35"/>
      <c r="F299" s="78"/>
      <c r="G299" s="78"/>
      <c r="H299" s="78"/>
      <c r="I299" s="78"/>
      <c r="J299" s="78"/>
      <c r="K299" s="78"/>
      <c r="L299" s="78"/>
      <c r="M299" s="212"/>
      <c r="N299" s="78"/>
      <c r="O299" s="78"/>
      <c r="P299" s="212"/>
      <c r="Q299" s="223"/>
      <c r="R299" s="224"/>
      <c r="S299" s="16"/>
      <c r="T299" s="16"/>
      <c r="U299" s="16"/>
      <c r="V299" s="16"/>
      <c r="W299" s="16"/>
      <c r="X299" s="16"/>
      <c r="Y299" s="16"/>
      <c r="Z299" s="16"/>
    </row>
    <row r="300" spans="1:26">
      <c r="A300" s="64" t="s">
        <v>30</v>
      </c>
      <c r="B300" s="179" t="s">
        <v>533</v>
      </c>
      <c r="C300" s="38" t="s">
        <v>23</v>
      </c>
      <c r="D300" s="39"/>
      <c r="E300" s="241">
        <v>1</v>
      </c>
      <c r="F300" s="180"/>
      <c r="G300" s="40"/>
      <c r="H300" s="139">
        <f>D300*F300</f>
        <v>0</v>
      </c>
      <c r="I300" s="213">
        <f>E300*G300</f>
        <v>0</v>
      </c>
      <c r="J300" s="213"/>
      <c r="K300" s="39">
        <f>D300+E300</f>
        <v>1</v>
      </c>
      <c r="L300" s="79">
        <f>F300+G300</f>
        <v>0</v>
      </c>
      <c r="M300" s="180"/>
      <c r="N300" s="89">
        <v>500001853</v>
      </c>
      <c r="O300" s="214" t="s">
        <v>534</v>
      </c>
      <c r="P300" s="58" t="s">
        <v>21</v>
      </c>
      <c r="Q300" s="104"/>
      <c r="R300" s="224"/>
    </row>
    <row r="301" spans="1:26" s="10" customFormat="1">
      <c r="A301" s="113" t="s">
        <v>535</v>
      </c>
      <c r="B301" s="114"/>
      <c r="C301" s="114"/>
      <c r="D301" s="181"/>
      <c r="E301" s="181"/>
      <c r="F301" s="181"/>
      <c r="G301" s="181"/>
      <c r="H301" s="171">
        <f>SUM(H300:H300)</f>
        <v>0</v>
      </c>
      <c r="I301" s="171">
        <f>SUM(I300:I300)</f>
        <v>0</v>
      </c>
      <c r="J301" s="171">
        <f>H301+I301</f>
        <v>0</v>
      </c>
      <c r="K301" s="171"/>
      <c r="L301" s="171"/>
      <c r="M301" s="45"/>
      <c r="N301" s="123"/>
      <c r="O301" s="123"/>
      <c r="P301" s="181"/>
      <c r="Q301" s="225"/>
      <c r="R301" s="226"/>
      <c r="S301" s="16"/>
      <c r="T301" s="16"/>
      <c r="U301" s="16"/>
      <c r="V301" s="16"/>
      <c r="W301" s="16"/>
      <c r="X301" s="16"/>
      <c r="Y301" s="16"/>
      <c r="Z301" s="16"/>
    </row>
    <row r="302" spans="1:26">
      <c r="A302" s="173"/>
      <c r="B302" s="174"/>
      <c r="C302" s="175"/>
      <c r="D302" s="300"/>
      <c r="E302" s="300"/>
      <c r="F302" s="182"/>
      <c r="G302" s="182"/>
      <c r="H302" s="182"/>
      <c r="I302" s="182"/>
      <c r="J302" s="182"/>
      <c r="K302" s="182"/>
      <c r="L302" s="182"/>
      <c r="M302" s="182"/>
      <c r="N302" s="175"/>
      <c r="O302" s="175"/>
      <c r="P302" s="211"/>
      <c r="Q302" s="223"/>
      <c r="R302" s="224"/>
    </row>
    <row r="303" spans="1:26" s="9" customFormat="1" ht="25.5">
      <c r="A303" s="32">
        <v>5</v>
      </c>
      <c r="B303" s="183" t="s">
        <v>536</v>
      </c>
      <c r="C303" s="55"/>
      <c r="D303" s="301"/>
      <c r="E303" s="301"/>
      <c r="F303" s="184"/>
      <c r="G303" s="184"/>
      <c r="H303" s="184"/>
      <c r="I303" s="184"/>
      <c r="J303" s="56"/>
      <c r="K303" s="184"/>
      <c r="L303" s="184"/>
      <c r="M303" s="184"/>
      <c r="N303" s="55"/>
      <c r="O303" s="55"/>
      <c r="P303" s="215"/>
      <c r="Q303" s="221"/>
      <c r="R303" s="227"/>
      <c r="S303" s="16"/>
      <c r="T303" s="16"/>
      <c r="U303" s="16"/>
      <c r="V303" s="16"/>
      <c r="W303" s="16"/>
      <c r="X303" s="16"/>
      <c r="Y303" s="16"/>
      <c r="Z303" s="16"/>
    </row>
    <row r="304" spans="1:26">
      <c r="A304" s="37" t="s">
        <v>30</v>
      </c>
      <c r="B304" s="172" t="s">
        <v>537</v>
      </c>
      <c r="C304" s="38" t="s">
        <v>23</v>
      </c>
      <c r="D304" s="300"/>
      <c r="E304" s="300"/>
      <c r="F304" s="165"/>
      <c r="G304" s="165"/>
      <c r="H304" s="139">
        <f t="shared" ref="H304:I310" si="38">D304*F304</f>
        <v>0</v>
      </c>
      <c r="I304" s="213">
        <f>E304*G304</f>
        <v>0</v>
      </c>
      <c r="J304" s="58"/>
      <c r="K304" s="39"/>
      <c r="L304" s="165"/>
      <c r="M304" s="165"/>
      <c r="N304" s="38">
        <v>500002109</v>
      </c>
      <c r="O304" s="172" t="s">
        <v>538</v>
      </c>
      <c r="P304" s="216" t="s">
        <v>21</v>
      </c>
      <c r="Q304" s="104"/>
      <c r="R304" s="224"/>
    </row>
    <row r="305" spans="1:26" s="10" customFormat="1">
      <c r="A305" s="113" t="s">
        <v>539</v>
      </c>
      <c r="B305" s="114"/>
      <c r="C305" s="114"/>
      <c r="D305" s="181"/>
      <c r="E305" s="181"/>
      <c r="F305" s="181"/>
      <c r="G305" s="181"/>
      <c r="H305" s="181">
        <f>H304</f>
        <v>0</v>
      </c>
      <c r="I305" s="181">
        <f>I304</f>
        <v>0</v>
      </c>
      <c r="J305" s="171">
        <f>H305+I305</f>
        <v>0</v>
      </c>
      <c r="K305" s="181"/>
      <c r="L305" s="181"/>
      <c r="M305" s="181"/>
      <c r="N305" s="123"/>
      <c r="O305" s="123"/>
      <c r="P305" s="181"/>
      <c r="Q305" s="225"/>
      <c r="R305" s="226"/>
      <c r="S305" s="16"/>
      <c r="T305" s="16"/>
      <c r="U305" s="16"/>
      <c r="V305" s="16"/>
      <c r="W305" s="16"/>
      <c r="X305" s="16"/>
      <c r="Y305" s="16"/>
      <c r="Z305" s="16"/>
    </row>
    <row r="306" spans="1:26">
      <c r="A306" s="29"/>
      <c r="B306" s="136"/>
      <c r="C306" s="137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42"/>
      <c r="O306" s="142"/>
      <c r="P306" s="143"/>
      <c r="Q306" s="105"/>
      <c r="R306" s="106"/>
    </row>
    <row r="307" spans="1:26" s="9" customFormat="1">
      <c r="A307" s="32">
        <v>6</v>
      </c>
      <c r="B307" s="185" t="s">
        <v>540</v>
      </c>
      <c r="C307" s="34"/>
      <c r="D307" s="186"/>
      <c r="E307" s="186"/>
      <c r="F307" s="164"/>
      <c r="G307" s="164"/>
      <c r="H307" s="164"/>
      <c r="I307" s="164"/>
      <c r="J307" s="36"/>
      <c r="K307" s="164"/>
      <c r="L307" s="164"/>
      <c r="M307" s="164"/>
      <c r="N307" s="34"/>
      <c r="O307" s="34"/>
      <c r="P307" s="164"/>
      <c r="Q307" s="221"/>
      <c r="R307" s="227"/>
      <c r="S307" s="16"/>
      <c r="T307" s="16"/>
      <c r="U307" s="16"/>
      <c r="V307" s="16"/>
      <c r="W307" s="16"/>
      <c r="X307" s="16"/>
      <c r="Y307" s="16"/>
      <c r="Z307" s="16"/>
    </row>
    <row r="308" spans="1:26">
      <c r="A308" s="37" t="s">
        <v>30</v>
      </c>
      <c r="B308" s="172" t="s">
        <v>541</v>
      </c>
      <c r="C308" s="38" t="s">
        <v>92</v>
      </c>
      <c r="D308" s="187"/>
      <c r="E308" s="187"/>
      <c r="F308" s="165"/>
      <c r="G308" s="165"/>
      <c r="H308" s="139">
        <f t="shared" si="38"/>
        <v>0</v>
      </c>
      <c r="I308" s="213">
        <f t="shared" si="38"/>
        <v>0</v>
      </c>
      <c r="J308" s="58"/>
      <c r="K308" s="165"/>
      <c r="L308" s="165"/>
      <c r="M308" s="165"/>
      <c r="N308" s="38">
        <v>500001046</v>
      </c>
      <c r="O308" s="172" t="s">
        <v>542</v>
      </c>
      <c r="P308" s="58" t="s">
        <v>21</v>
      </c>
      <c r="Q308" s="104"/>
      <c r="R308" s="224"/>
    </row>
    <row r="309" spans="1:26">
      <c r="A309" s="37" t="s">
        <v>62</v>
      </c>
      <c r="B309" s="172" t="s">
        <v>543</v>
      </c>
      <c r="C309" s="38" t="s">
        <v>92</v>
      </c>
      <c r="D309" s="187"/>
      <c r="E309" s="187"/>
      <c r="F309" s="165"/>
      <c r="G309" s="165"/>
      <c r="H309" s="139">
        <f t="shared" si="38"/>
        <v>0</v>
      </c>
      <c r="I309" s="213">
        <f t="shared" si="38"/>
        <v>0</v>
      </c>
      <c r="J309" s="58"/>
      <c r="K309" s="165"/>
      <c r="L309" s="165"/>
      <c r="M309" s="165"/>
      <c r="N309" s="38">
        <v>500001047</v>
      </c>
      <c r="O309" s="172" t="s">
        <v>544</v>
      </c>
      <c r="P309" s="58" t="s">
        <v>21</v>
      </c>
      <c r="Q309" s="104"/>
      <c r="R309" s="224"/>
    </row>
    <row r="310" spans="1:26">
      <c r="A310" s="37" t="s">
        <v>89</v>
      </c>
      <c r="B310" s="172" t="s">
        <v>545</v>
      </c>
      <c r="C310" s="38" t="s">
        <v>92</v>
      </c>
      <c r="D310" s="187"/>
      <c r="E310" s="187"/>
      <c r="F310" s="165"/>
      <c r="G310" s="165"/>
      <c r="H310" s="139">
        <f t="shared" si="38"/>
        <v>0</v>
      </c>
      <c r="I310" s="213">
        <f t="shared" si="38"/>
        <v>0</v>
      </c>
      <c r="J310" s="58"/>
      <c r="K310" s="165"/>
      <c r="L310" s="165"/>
      <c r="M310" s="165"/>
      <c r="N310" s="89">
        <v>500002110</v>
      </c>
      <c r="O310" s="172" t="s">
        <v>546</v>
      </c>
      <c r="P310" s="58" t="s">
        <v>21</v>
      </c>
      <c r="Q310" s="104"/>
      <c r="R310" s="224"/>
    </row>
    <row r="311" spans="1:26" s="10" customFormat="1">
      <c r="A311" s="113" t="s">
        <v>547</v>
      </c>
      <c r="B311" s="114"/>
      <c r="C311" s="114"/>
      <c r="D311" s="181"/>
      <c r="E311" s="181"/>
      <c r="F311" s="181"/>
      <c r="G311" s="181"/>
      <c r="H311" s="181">
        <f>SUM(H308:H310)</f>
        <v>0</v>
      </c>
      <c r="I311" s="181">
        <f>SUM(I308:I310)</f>
        <v>0</v>
      </c>
      <c r="J311" s="171">
        <f>H311+I311</f>
        <v>0</v>
      </c>
      <c r="K311" s="181"/>
      <c r="L311" s="181"/>
      <c r="M311" s="181"/>
      <c r="N311" s="123"/>
      <c r="O311" s="123"/>
      <c r="P311" s="181"/>
      <c r="Q311" s="225"/>
      <c r="R311" s="226"/>
      <c r="S311" s="16"/>
      <c r="T311" s="16"/>
      <c r="U311" s="16"/>
      <c r="V311" s="16"/>
      <c r="W311" s="16"/>
      <c r="X311" s="16"/>
      <c r="Y311" s="16"/>
      <c r="Z311" s="16"/>
    </row>
    <row r="312" spans="1:26">
      <c r="A312" s="29"/>
      <c r="B312" s="136"/>
      <c r="C312" s="137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42"/>
      <c r="O312" s="142"/>
      <c r="P312" s="143"/>
      <c r="Q312" s="105"/>
      <c r="R312" s="106"/>
    </row>
    <row r="313" spans="1:26" s="9" customFormat="1">
      <c r="A313" s="32">
        <v>7</v>
      </c>
      <c r="B313" s="185" t="s">
        <v>548</v>
      </c>
      <c r="C313" s="34"/>
      <c r="D313" s="186"/>
      <c r="E313" s="186"/>
      <c r="F313" s="164"/>
      <c r="G313" s="164"/>
      <c r="H313" s="164"/>
      <c r="I313" s="164"/>
      <c r="J313" s="36"/>
      <c r="K313" s="164"/>
      <c r="L313" s="164"/>
      <c r="M313" s="164"/>
      <c r="N313" s="34"/>
      <c r="O313" s="34"/>
      <c r="P313" s="164"/>
      <c r="Q313" s="221"/>
      <c r="R313" s="227"/>
      <c r="S313" s="16"/>
      <c r="T313" s="16"/>
      <c r="U313" s="16"/>
      <c r="V313" s="16"/>
      <c r="W313" s="16"/>
      <c r="X313" s="16"/>
      <c r="Y313" s="16"/>
      <c r="Z313" s="16"/>
    </row>
    <row r="314" spans="1:26">
      <c r="A314" s="37" t="s">
        <v>30</v>
      </c>
      <c r="B314" s="172" t="s">
        <v>549</v>
      </c>
      <c r="C314" s="38" t="s">
        <v>550</v>
      </c>
      <c r="D314" s="188"/>
      <c r="E314" s="187"/>
      <c r="F314" s="165"/>
      <c r="G314" s="165"/>
      <c r="H314" s="139">
        <f t="shared" ref="H314:I320" si="39">D314*F314</f>
        <v>0</v>
      </c>
      <c r="I314" s="213">
        <f t="shared" si="39"/>
        <v>0</v>
      </c>
      <c r="J314" s="58"/>
      <c r="K314" s="165"/>
      <c r="L314" s="165"/>
      <c r="M314" s="165"/>
      <c r="N314" s="89">
        <v>500002111</v>
      </c>
      <c r="O314" s="90" t="s">
        <v>551</v>
      </c>
      <c r="P314" s="58" t="s">
        <v>21</v>
      </c>
      <c r="Q314" s="104"/>
      <c r="R314" s="224"/>
    </row>
    <row r="315" spans="1:26">
      <c r="A315" s="37" t="s">
        <v>62</v>
      </c>
      <c r="B315" s="172" t="s">
        <v>552</v>
      </c>
      <c r="C315" s="38" t="s">
        <v>550</v>
      </c>
      <c r="D315" s="187"/>
      <c r="E315" s="187"/>
      <c r="F315" s="165"/>
      <c r="G315" s="165"/>
      <c r="H315" s="139">
        <f t="shared" si="39"/>
        <v>0</v>
      </c>
      <c r="I315" s="213">
        <f t="shared" si="39"/>
        <v>0</v>
      </c>
      <c r="J315" s="58"/>
      <c r="K315" s="165"/>
      <c r="L315" s="165"/>
      <c r="M315" s="165"/>
      <c r="N315" s="89">
        <v>500002112</v>
      </c>
      <c r="O315" s="90" t="s">
        <v>553</v>
      </c>
      <c r="P315" s="58" t="s">
        <v>21</v>
      </c>
      <c r="Q315" s="104"/>
      <c r="R315" s="224"/>
    </row>
    <row r="316" spans="1:26" s="10" customFormat="1">
      <c r="A316" s="113" t="s">
        <v>554</v>
      </c>
      <c r="B316" s="114"/>
      <c r="C316" s="114"/>
      <c r="D316" s="181"/>
      <c r="E316" s="181"/>
      <c r="F316" s="181"/>
      <c r="G316" s="181"/>
      <c r="H316" s="181">
        <f>SUM(H314:H315)</f>
        <v>0</v>
      </c>
      <c r="I316" s="181">
        <f>SUM(I314:I315)</f>
        <v>0</v>
      </c>
      <c r="J316" s="171">
        <f>H316+I316</f>
        <v>0</v>
      </c>
      <c r="K316" s="181"/>
      <c r="L316" s="181"/>
      <c r="M316" s="181"/>
      <c r="N316" s="123"/>
      <c r="O316" s="123"/>
      <c r="P316" s="181"/>
      <c r="Q316" s="225"/>
      <c r="R316" s="226"/>
      <c r="S316" s="16"/>
      <c r="T316" s="16"/>
      <c r="U316" s="16"/>
      <c r="V316" s="16"/>
      <c r="W316" s="16"/>
      <c r="X316" s="16"/>
      <c r="Y316" s="16"/>
      <c r="Z316" s="16"/>
    </row>
    <row r="317" spans="1:26" s="12" customFormat="1">
      <c r="A317" s="189"/>
      <c r="B317" s="190"/>
      <c r="C317" s="190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217"/>
      <c r="O317" s="218"/>
      <c r="P317" s="191"/>
      <c r="Q317" s="228"/>
      <c r="R317" s="229"/>
    </row>
    <row r="318" spans="1:26" s="9" customFormat="1">
      <c r="A318" s="32">
        <v>8</v>
      </c>
      <c r="B318" s="185" t="s">
        <v>555</v>
      </c>
      <c r="C318" s="34"/>
      <c r="D318" s="192"/>
      <c r="E318" s="192"/>
      <c r="F318" s="34"/>
      <c r="G318" s="34"/>
      <c r="H318" s="34"/>
      <c r="I318" s="34"/>
      <c r="J318" s="78"/>
      <c r="K318" s="34"/>
      <c r="L318" s="34"/>
      <c r="M318" s="34"/>
      <c r="N318" s="34"/>
      <c r="O318" s="32"/>
      <c r="P318" s="34"/>
      <c r="Q318" s="230"/>
      <c r="R318" s="226"/>
      <c r="S318" s="16"/>
      <c r="T318" s="16"/>
      <c r="U318" s="16"/>
      <c r="V318" s="16"/>
      <c r="W318" s="16"/>
      <c r="X318" s="16"/>
      <c r="Y318" s="16"/>
      <c r="Z318" s="16"/>
    </row>
    <row r="319" spans="1:26">
      <c r="A319" s="193" t="s">
        <v>30</v>
      </c>
      <c r="B319" s="61" t="s">
        <v>556</v>
      </c>
      <c r="C319" s="193" t="s">
        <v>557</v>
      </c>
      <c r="D319" s="194"/>
      <c r="E319" s="194"/>
      <c r="F319" s="194"/>
      <c r="G319" s="194"/>
      <c r="H319" s="139">
        <f t="shared" si="39"/>
        <v>0</v>
      </c>
      <c r="I319" s="213">
        <f t="shared" si="39"/>
        <v>0</v>
      </c>
      <c r="J319" s="194"/>
      <c r="K319" s="194"/>
      <c r="L319" s="194"/>
      <c r="M319" s="194"/>
      <c r="N319" s="89">
        <v>500002086</v>
      </c>
      <c r="O319" s="90" t="s">
        <v>558</v>
      </c>
      <c r="P319" s="58" t="s">
        <v>21</v>
      </c>
      <c r="Q319" s="104"/>
      <c r="R319" s="231"/>
    </row>
    <row r="320" spans="1:26">
      <c r="A320" s="37" t="s">
        <v>62</v>
      </c>
      <c r="B320" s="80" t="s">
        <v>559</v>
      </c>
      <c r="C320" s="37" t="s">
        <v>560</v>
      </c>
      <c r="D320" s="194"/>
      <c r="E320" s="194"/>
      <c r="F320" s="194"/>
      <c r="G320" s="194"/>
      <c r="H320" s="139">
        <f t="shared" si="39"/>
        <v>0</v>
      </c>
      <c r="I320" s="213">
        <f t="shared" si="39"/>
        <v>0</v>
      </c>
      <c r="J320" s="194"/>
      <c r="K320" s="194"/>
      <c r="L320" s="194"/>
      <c r="M320" s="194"/>
      <c r="N320" s="89">
        <v>500002087</v>
      </c>
      <c r="O320" s="90" t="s">
        <v>561</v>
      </c>
      <c r="P320" s="58" t="s">
        <v>21</v>
      </c>
      <c r="Q320" s="232"/>
      <c r="R320" s="233"/>
    </row>
    <row r="321" spans="1:26" s="10" customFormat="1">
      <c r="A321" s="113" t="s">
        <v>562</v>
      </c>
      <c r="B321" s="114"/>
      <c r="C321" s="114"/>
      <c r="D321" s="181"/>
      <c r="E321" s="181"/>
      <c r="F321" s="181"/>
      <c r="G321" s="181"/>
      <c r="H321" s="181">
        <f>SUM(H319:H320)</f>
        <v>0</v>
      </c>
      <c r="I321" s="181">
        <f>SUM(I319:I320)</f>
        <v>0</v>
      </c>
      <c r="J321" s="171">
        <f>H321+I321</f>
        <v>0</v>
      </c>
      <c r="K321" s="181"/>
      <c r="L321" s="181"/>
      <c r="M321" s="181"/>
      <c r="N321" s="123"/>
      <c r="O321" s="123"/>
      <c r="P321" s="181"/>
      <c r="Q321" s="225"/>
      <c r="R321" s="226"/>
      <c r="S321" s="16"/>
      <c r="T321" s="16"/>
      <c r="U321" s="16"/>
      <c r="V321" s="16"/>
      <c r="W321" s="16"/>
      <c r="X321" s="16"/>
      <c r="Y321" s="16"/>
      <c r="Z321" s="16"/>
    </row>
    <row r="322" spans="1:26">
      <c r="A322" s="115"/>
      <c r="B322" s="137"/>
      <c r="C322" s="137"/>
      <c r="D322" s="195"/>
      <c r="E322" s="195"/>
      <c r="F322" s="176"/>
      <c r="G322" s="176"/>
      <c r="H322" s="176"/>
      <c r="I322" s="176"/>
      <c r="J322" s="176"/>
      <c r="K322" s="176"/>
      <c r="L322" s="176"/>
      <c r="M322" s="176"/>
      <c r="N322" s="125"/>
      <c r="O322" s="125"/>
      <c r="P322" s="219"/>
      <c r="Q322" s="223"/>
      <c r="R322" s="224"/>
    </row>
    <row r="323" spans="1:26">
      <c r="A323" s="196" t="s">
        <v>563</v>
      </c>
      <c r="B323" s="197"/>
      <c r="C323" s="198"/>
      <c r="D323" s="50"/>
      <c r="E323" s="50"/>
      <c r="F323" s="50"/>
      <c r="G323" s="50"/>
      <c r="H323" s="199" t="e">
        <f>H10+H105+H206+H242+H281+H288+H293+H297+H301+H305+H311+H316+H321</f>
        <v>#REF!</v>
      </c>
      <c r="I323" s="199" t="e">
        <f>I10+I105+I206+I242+I281+I288+I293+I297+I301+I305+I311+I316+I321</f>
        <v>#REF!</v>
      </c>
      <c r="J323" s="199"/>
      <c r="K323" s="199"/>
      <c r="L323" s="199"/>
      <c r="M323" s="50"/>
      <c r="N323" s="29"/>
      <c r="O323" s="29"/>
      <c r="P323" s="50"/>
      <c r="Q323" s="105"/>
      <c r="R323" s="106"/>
    </row>
    <row r="324" spans="1:26">
      <c r="A324" s="196" t="s">
        <v>564</v>
      </c>
      <c r="B324" s="200"/>
      <c r="C324" s="198"/>
      <c r="D324" s="187"/>
      <c r="E324" s="187"/>
      <c r="F324" s="165"/>
      <c r="G324" s="165"/>
      <c r="H324" s="201" t="e">
        <f>H323+I323</f>
        <v>#REF!</v>
      </c>
      <c r="I324" s="165"/>
      <c r="J324" s="58"/>
      <c r="K324" s="165"/>
      <c r="L324" s="165"/>
      <c r="M324" s="165"/>
      <c r="N324" s="198"/>
      <c r="O324" s="198"/>
      <c r="P324" s="165"/>
      <c r="Q324" s="221"/>
      <c r="R324" s="97"/>
    </row>
    <row r="325" spans="1:26">
      <c r="A325" s="136" t="s">
        <v>565</v>
      </c>
      <c r="B325" s="200"/>
      <c r="C325" s="198"/>
      <c r="D325" s="187"/>
      <c r="E325" s="187"/>
      <c r="F325" s="165"/>
      <c r="G325" s="165"/>
      <c r="H325" s="202" t="e">
        <f>H324/O5</f>
        <v>#REF!</v>
      </c>
      <c r="I325" s="165"/>
      <c r="J325" s="58"/>
      <c r="K325" s="165"/>
      <c r="L325" s="165"/>
      <c r="M325" s="165"/>
      <c r="N325" s="198"/>
      <c r="O325" s="198"/>
      <c r="P325" s="165"/>
      <c r="Q325" s="221"/>
      <c r="R325" s="97"/>
    </row>
    <row r="326" spans="1:26">
      <c r="A326" s="136" t="s">
        <v>566</v>
      </c>
      <c r="B326" s="200"/>
      <c r="C326" s="198"/>
      <c r="D326" s="187"/>
      <c r="E326" s="187"/>
      <c r="F326" s="165"/>
      <c r="G326" s="165"/>
      <c r="H326" s="203" t="e">
        <f>H325/14000</f>
        <v>#REF!</v>
      </c>
      <c r="I326" s="165"/>
      <c r="J326" s="58"/>
      <c r="K326" s="165"/>
      <c r="L326" s="165"/>
      <c r="M326" s="165"/>
      <c r="N326" s="198"/>
      <c r="O326" s="198"/>
      <c r="P326" s="165"/>
      <c r="Q326" s="221"/>
      <c r="R326" s="97"/>
    </row>
    <row r="328" spans="1:26">
      <c r="B328" s="204" t="s">
        <v>654</v>
      </c>
      <c r="N328" s="220" t="s">
        <v>567</v>
      </c>
      <c r="O328" s="247"/>
    </row>
    <row r="329" spans="1:26">
      <c r="B329" s="205"/>
    </row>
    <row r="330" spans="1:26">
      <c r="B330" s="206" t="s">
        <v>656</v>
      </c>
      <c r="N330" s="11" t="s">
        <v>568</v>
      </c>
    </row>
    <row r="331" spans="1:26">
      <c r="B331" s="206" t="s">
        <v>647</v>
      </c>
      <c r="N331" s="11" t="s">
        <v>569</v>
      </c>
    </row>
    <row r="332" spans="1:26">
      <c r="B332" s="206" t="s">
        <v>648</v>
      </c>
      <c r="N332" s="11" t="s">
        <v>655</v>
      </c>
    </row>
    <row r="333" spans="1:26">
      <c r="B333" s="206" t="s">
        <v>570</v>
      </c>
      <c r="N333" s="11" t="s">
        <v>570</v>
      </c>
    </row>
    <row r="334" spans="1:26">
      <c r="A334" s="11"/>
      <c r="B334" s="309"/>
      <c r="D334" s="11"/>
      <c r="E334" s="11"/>
      <c r="J334" s="11"/>
      <c r="K334" s="11"/>
      <c r="L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>
      <c r="A335" s="11"/>
      <c r="B335" s="309"/>
      <c r="D335" s="11"/>
      <c r="E335" s="11"/>
      <c r="J335" s="11"/>
      <c r="K335" s="11"/>
      <c r="L335" s="11"/>
      <c r="N335" s="11" t="s">
        <v>571</v>
      </c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>
      <c r="B336" s="309"/>
    </row>
    <row r="337" spans="2:15" ht="13.5" customHeight="1">
      <c r="B337" s="309"/>
    </row>
    <row r="338" spans="2:15">
      <c r="B338" s="206" t="s">
        <v>739</v>
      </c>
    </row>
    <row r="339" spans="2:15">
      <c r="B339" s="237"/>
      <c r="O339" s="248"/>
    </row>
  </sheetData>
  <mergeCells count="1">
    <mergeCell ref="B334:B337"/>
  </mergeCells>
  <conditionalFormatting sqref="M204">
    <cfRule type="duplicateValues" dxfId="24" priority="16"/>
  </conditionalFormatting>
  <conditionalFormatting sqref="M218:M220">
    <cfRule type="duplicateValues" dxfId="23" priority="19"/>
  </conditionalFormatting>
  <conditionalFormatting sqref="N8:N9">
    <cfRule type="duplicateValues" dxfId="22" priority="5"/>
  </conditionalFormatting>
  <conditionalFormatting sqref="N10:N11 N140 N94:N118 N91:N92 N211:N213 N142:N143 N160:N209 N133:N134 N136 N145:N158 N138 N13:N53 N221 N223:N239 N65:N66 N242:N320 N56:N63 N73:N84">
    <cfRule type="duplicateValues" dxfId="21" priority="25"/>
  </conditionalFormatting>
  <conditionalFormatting sqref="N54:N55">
    <cfRule type="duplicateValues" dxfId="20" priority="3"/>
  </conditionalFormatting>
  <conditionalFormatting sqref="N67:N72">
    <cfRule type="duplicateValues" dxfId="19" priority="2"/>
  </conditionalFormatting>
  <conditionalFormatting sqref="N83:N84">
    <cfRule type="duplicateValues" dxfId="18" priority="23"/>
    <cfRule type="duplicateValues" dxfId="17" priority="24"/>
  </conditionalFormatting>
  <conditionalFormatting sqref="N84">
    <cfRule type="duplicateValues" dxfId="16" priority="20"/>
    <cfRule type="duplicateValues" dxfId="15" priority="21"/>
    <cfRule type="duplicateValues" dxfId="14" priority="22"/>
  </conditionalFormatting>
  <conditionalFormatting sqref="N85:N89">
    <cfRule type="duplicateValues" dxfId="13" priority="10"/>
    <cfRule type="duplicateValues" dxfId="12" priority="11"/>
    <cfRule type="duplicateValues" dxfId="11" priority="12"/>
    <cfRule type="duplicateValues" dxfId="10" priority="13"/>
    <cfRule type="duplicateValues" dxfId="9" priority="14"/>
    <cfRule type="duplicateValues" dxfId="8" priority="15"/>
  </conditionalFormatting>
  <conditionalFormatting sqref="N90">
    <cfRule type="duplicateValues" dxfId="7" priority="4"/>
  </conditionalFormatting>
  <conditionalFormatting sqref="N93">
    <cfRule type="duplicateValues" dxfId="6" priority="6"/>
  </conditionalFormatting>
  <conditionalFormatting sqref="N119:N120">
    <cfRule type="duplicateValues" dxfId="5" priority="8"/>
  </conditionalFormatting>
  <conditionalFormatting sqref="N121:N132">
    <cfRule type="duplicateValues" dxfId="4" priority="7"/>
  </conditionalFormatting>
  <conditionalFormatting sqref="N215:N216">
    <cfRule type="duplicateValues" dxfId="3" priority="17"/>
  </conditionalFormatting>
  <conditionalFormatting sqref="N218">
    <cfRule type="duplicateValues" dxfId="2" priority="18"/>
  </conditionalFormatting>
  <conditionalFormatting sqref="N219:N220">
    <cfRule type="duplicateValues" dxfId="1" priority="1"/>
  </conditionalFormatting>
  <conditionalFormatting sqref="N240:N241">
    <cfRule type="duplicateValues" dxfId="0" priority="9"/>
  </conditionalFormatting>
  <pageMargins left="0.7" right="0.7" top="0.75" bottom="0.75" header="0.3" footer="0.3"/>
  <pageSetup paperSize="9" scale="3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N127"/>
  <sheetViews>
    <sheetView showGridLines="0" zoomScale="85" zoomScaleNormal="85" workbookViewId="0">
      <pane ySplit="1" topLeftCell="A29" activePane="bottomLeft" state="frozen"/>
      <selection pane="bottomLeft" activeCell="C43" sqref="C43"/>
    </sheetView>
  </sheetViews>
  <sheetFormatPr defaultColWidth="9" defaultRowHeight="15"/>
  <cols>
    <col min="1" max="1" width="40.42578125" customWidth="1"/>
    <col min="2" max="2" width="49.5703125" bestFit="1" customWidth="1"/>
    <col min="3" max="11" width="10.5703125" bestFit="1" customWidth="1"/>
    <col min="12" max="12" width="11.5703125" bestFit="1" customWidth="1"/>
    <col min="13" max="13" width="10.28515625" customWidth="1"/>
    <col min="14" max="14" width="71.5703125" bestFit="1" customWidth="1"/>
    <col min="15" max="16" width="9" customWidth="1"/>
  </cols>
  <sheetData>
    <row r="1" spans="1:14">
      <c r="A1" s="250" t="s">
        <v>726</v>
      </c>
      <c r="B1" s="272">
        <f>'BoQ NRO Cluster'!O3</f>
        <v>0</v>
      </c>
      <c r="C1" s="269" t="s">
        <v>705</v>
      </c>
      <c r="D1" s="269" t="s">
        <v>706</v>
      </c>
      <c r="E1" s="269" t="s">
        <v>707</v>
      </c>
      <c r="F1" s="269" t="s">
        <v>708</v>
      </c>
      <c r="G1" s="269" t="s">
        <v>709</v>
      </c>
      <c r="H1" s="269" t="s">
        <v>710</v>
      </c>
      <c r="I1" s="269" t="s">
        <v>711</v>
      </c>
      <c r="J1" s="269" t="s">
        <v>712</v>
      </c>
      <c r="K1" s="269" t="s">
        <v>713</v>
      </c>
      <c r="L1" s="269" t="s">
        <v>714</v>
      </c>
      <c r="M1" s="270" t="s">
        <v>9</v>
      </c>
      <c r="N1" s="270" t="s">
        <v>20</v>
      </c>
    </row>
    <row r="2" spans="1:14">
      <c r="A2" s="2" t="s">
        <v>572</v>
      </c>
      <c r="B2" s="3" t="s">
        <v>573</v>
      </c>
      <c r="C2" s="259">
        <v>0</v>
      </c>
      <c r="D2" s="259">
        <v>0</v>
      </c>
      <c r="E2" s="259">
        <v>0</v>
      </c>
      <c r="F2" s="259">
        <v>0</v>
      </c>
      <c r="G2" s="259">
        <v>0</v>
      </c>
      <c r="H2" s="259">
        <v>0</v>
      </c>
      <c r="I2" s="259">
        <v>0</v>
      </c>
      <c r="J2" s="259">
        <v>0</v>
      </c>
      <c r="K2" s="259">
        <v>0</v>
      </c>
      <c r="L2" s="259">
        <v>0</v>
      </c>
      <c r="M2" s="3" t="s">
        <v>574</v>
      </c>
      <c r="N2" s="2" t="s">
        <v>575</v>
      </c>
    </row>
    <row r="3" spans="1:14">
      <c r="A3" s="2"/>
      <c r="B3" s="3" t="s">
        <v>576</v>
      </c>
      <c r="C3" s="259">
        <v>0</v>
      </c>
      <c r="D3" s="259">
        <v>0</v>
      </c>
      <c r="E3" s="259">
        <v>0</v>
      </c>
      <c r="F3" s="259">
        <v>0</v>
      </c>
      <c r="G3" s="259">
        <v>0</v>
      </c>
      <c r="H3" s="259">
        <v>0</v>
      </c>
      <c r="I3" s="259">
        <v>0</v>
      </c>
      <c r="J3" s="259">
        <v>0</v>
      </c>
      <c r="K3" s="259">
        <v>0</v>
      </c>
      <c r="L3" s="259">
        <v>0</v>
      </c>
      <c r="M3" s="3" t="s">
        <v>574</v>
      </c>
      <c r="N3" s="2" t="s">
        <v>575</v>
      </c>
    </row>
    <row r="4" spans="1:14">
      <c r="A4" s="2"/>
      <c r="B4" s="3" t="s">
        <v>577</v>
      </c>
      <c r="C4" s="259">
        <v>0</v>
      </c>
      <c r="D4" s="259">
        <v>0</v>
      </c>
      <c r="E4" s="259">
        <v>0</v>
      </c>
      <c r="F4" s="259">
        <v>0</v>
      </c>
      <c r="G4" s="259">
        <v>0</v>
      </c>
      <c r="H4" s="259">
        <v>0</v>
      </c>
      <c r="I4" s="259">
        <v>0</v>
      </c>
      <c r="J4" s="259">
        <v>0</v>
      </c>
      <c r="K4" s="259">
        <v>0</v>
      </c>
      <c r="L4" s="259">
        <v>0</v>
      </c>
      <c r="M4" s="3" t="s">
        <v>574</v>
      </c>
      <c r="N4" s="2" t="s">
        <v>575</v>
      </c>
    </row>
    <row r="5" spans="1:14">
      <c r="A5" s="2"/>
      <c r="B5" s="3" t="s">
        <v>578</v>
      </c>
      <c r="C5" s="259">
        <v>0</v>
      </c>
      <c r="D5" s="259">
        <v>0</v>
      </c>
      <c r="E5" s="259">
        <v>0</v>
      </c>
      <c r="F5" s="259">
        <v>0</v>
      </c>
      <c r="G5" s="259">
        <v>0</v>
      </c>
      <c r="H5" s="259">
        <v>0</v>
      </c>
      <c r="I5" s="259">
        <v>0</v>
      </c>
      <c r="J5" s="259">
        <v>0</v>
      </c>
      <c r="K5" s="259">
        <v>0</v>
      </c>
      <c r="L5" s="259">
        <v>0</v>
      </c>
      <c r="M5" s="3" t="s">
        <v>574</v>
      </c>
      <c r="N5" s="2" t="s">
        <v>575</v>
      </c>
    </row>
    <row r="6" spans="1:14">
      <c r="A6" s="2"/>
      <c r="B6" s="3" t="s">
        <v>579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3" t="s">
        <v>574</v>
      </c>
      <c r="N6" s="2" t="s">
        <v>575</v>
      </c>
    </row>
    <row r="7" spans="1:14">
      <c r="A7" s="2"/>
      <c r="B7" s="3" t="s">
        <v>580</v>
      </c>
      <c r="C7" s="259">
        <v>0</v>
      </c>
      <c r="D7" s="259">
        <v>0</v>
      </c>
      <c r="E7" s="259">
        <v>0</v>
      </c>
      <c r="F7" s="259">
        <v>0</v>
      </c>
      <c r="G7" s="259">
        <v>0</v>
      </c>
      <c r="H7" s="259">
        <v>0</v>
      </c>
      <c r="I7" s="259">
        <v>0</v>
      </c>
      <c r="J7" s="259">
        <v>0</v>
      </c>
      <c r="K7" s="259">
        <v>0</v>
      </c>
      <c r="L7" s="259">
        <v>0</v>
      </c>
      <c r="M7" s="3" t="s">
        <v>574</v>
      </c>
      <c r="N7" s="2" t="s">
        <v>575</v>
      </c>
    </row>
    <row r="8" spans="1:14">
      <c r="A8" s="2"/>
      <c r="B8" s="3" t="s">
        <v>581</v>
      </c>
      <c r="C8" s="259">
        <v>0</v>
      </c>
      <c r="D8" s="259">
        <v>0</v>
      </c>
      <c r="E8" s="259">
        <v>0</v>
      </c>
      <c r="F8" s="259">
        <v>0</v>
      </c>
      <c r="G8" s="259">
        <v>0</v>
      </c>
      <c r="H8" s="259">
        <v>0</v>
      </c>
      <c r="I8" s="259">
        <v>0</v>
      </c>
      <c r="J8" s="259">
        <v>0</v>
      </c>
      <c r="K8" s="259">
        <v>0</v>
      </c>
      <c r="L8" s="259">
        <v>0</v>
      </c>
      <c r="M8" s="3" t="s">
        <v>574</v>
      </c>
      <c r="N8" s="2" t="s">
        <v>575</v>
      </c>
    </row>
    <row r="9" spans="1:14">
      <c r="A9" s="2"/>
      <c r="B9" s="3" t="s">
        <v>582</v>
      </c>
      <c r="C9" s="259">
        <v>0</v>
      </c>
      <c r="D9" s="259">
        <v>0</v>
      </c>
      <c r="E9" s="259">
        <v>0</v>
      </c>
      <c r="F9" s="259">
        <v>0</v>
      </c>
      <c r="G9" s="259">
        <v>0</v>
      </c>
      <c r="H9" s="259">
        <v>0</v>
      </c>
      <c r="I9" s="259">
        <v>0</v>
      </c>
      <c r="J9" s="259">
        <v>0</v>
      </c>
      <c r="K9" s="259">
        <v>0</v>
      </c>
      <c r="L9" s="259">
        <v>0</v>
      </c>
      <c r="M9" s="3" t="s">
        <v>574</v>
      </c>
      <c r="N9" s="2" t="s">
        <v>575</v>
      </c>
    </row>
    <row r="10" spans="1:14">
      <c r="A10" s="2"/>
      <c r="B10" s="3" t="s">
        <v>583</v>
      </c>
      <c r="C10" s="259">
        <v>0</v>
      </c>
      <c r="D10" s="259">
        <v>0</v>
      </c>
      <c r="E10" s="259">
        <v>0</v>
      </c>
      <c r="F10" s="259">
        <v>0</v>
      </c>
      <c r="G10" s="259">
        <v>0</v>
      </c>
      <c r="H10" s="259">
        <v>0</v>
      </c>
      <c r="I10" s="259">
        <v>0</v>
      </c>
      <c r="J10" s="259">
        <v>0</v>
      </c>
      <c r="K10" s="259">
        <v>0</v>
      </c>
      <c r="L10" s="259">
        <v>0</v>
      </c>
      <c r="M10" s="3" t="s">
        <v>574</v>
      </c>
      <c r="N10" s="2" t="s">
        <v>575</v>
      </c>
    </row>
    <row r="11" spans="1:14">
      <c r="A11" s="2"/>
      <c r="B11" s="3" t="s">
        <v>584</v>
      </c>
      <c r="C11" s="259">
        <v>0</v>
      </c>
      <c r="D11" s="259">
        <v>0</v>
      </c>
      <c r="E11" s="259">
        <v>0</v>
      </c>
      <c r="F11" s="259">
        <v>0</v>
      </c>
      <c r="G11" s="259">
        <v>0</v>
      </c>
      <c r="H11" s="259">
        <v>0</v>
      </c>
      <c r="I11" s="259">
        <v>0</v>
      </c>
      <c r="J11" s="259">
        <v>0</v>
      </c>
      <c r="K11" s="259">
        <v>0</v>
      </c>
      <c r="L11" s="259">
        <v>0</v>
      </c>
      <c r="M11" s="3" t="s">
        <v>574</v>
      </c>
      <c r="N11" s="2" t="s">
        <v>575</v>
      </c>
    </row>
    <row r="12" spans="1:14">
      <c r="A12" s="2"/>
      <c r="B12" s="3" t="s">
        <v>585</v>
      </c>
      <c r="C12" s="259">
        <v>0</v>
      </c>
      <c r="D12" s="259">
        <v>0</v>
      </c>
      <c r="E12" s="259">
        <v>0</v>
      </c>
      <c r="F12" s="259">
        <v>0</v>
      </c>
      <c r="G12" s="259">
        <v>0</v>
      </c>
      <c r="H12" s="259">
        <v>0</v>
      </c>
      <c r="I12" s="259">
        <v>0</v>
      </c>
      <c r="J12" s="259">
        <v>0</v>
      </c>
      <c r="K12" s="259">
        <v>0</v>
      </c>
      <c r="L12" s="259">
        <v>0</v>
      </c>
      <c r="M12" s="3" t="s">
        <v>574</v>
      </c>
      <c r="N12" s="2" t="s">
        <v>575</v>
      </c>
    </row>
    <row r="13" spans="1:14">
      <c r="A13" s="2"/>
      <c r="B13" s="3" t="s">
        <v>586</v>
      </c>
      <c r="C13" s="259">
        <v>0</v>
      </c>
      <c r="D13" s="259">
        <v>0</v>
      </c>
      <c r="E13" s="259">
        <v>0</v>
      </c>
      <c r="F13" s="259">
        <v>0</v>
      </c>
      <c r="G13" s="259">
        <v>0</v>
      </c>
      <c r="H13" s="259">
        <v>0</v>
      </c>
      <c r="I13" s="259">
        <v>0</v>
      </c>
      <c r="J13" s="259">
        <v>0</v>
      </c>
      <c r="K13" s="259">
        <v>0</v>
      </c>
      <c r="L13" s="259">
        <v>0</v>
      </c>
      <c r="M13" s="3" t="s">
        <v>574</v>
      </c>
      <c r="N13" s="2" t="s">
        <v>575</v>
      </c>
    </row>
    <row r="14" spans="1:14">
      <c r="A14" s="303" t="s">
        <v>572</v>
      </c>
      <c r="B14" s="304"/>
      <c r="C14" s="260">
        <f t="shared" ref="C14:L14" si="0">SUM(C2:C13)</f>
        <v>0</v>
      </c>
      <c r="D14" s="260">
        <f t="shared" si="0"/>
        <v>0</v>
      </c>
      <c r="E14" s="260">
        <f t="shared" si="0"/>
        <v>0</v>
      </c>
      <c r="F14" s="260">
        <f t="shared" si="0"/>
        <v>0</v>
      </c>
      <c r="G14" s="260">
        <f t="shared" si="0"/>
        <v>0</v>
      </c>
      <c r="H14" s="260">
        <f t="shared" si="0"/>
        <v>0</v>
      </c>
      <c r="I14" s="260">
        <f t="shared" si="0"/>
        <v>0</v>
      </c>
      <c r="J14" s="260">
        <f t="shared" si="0"/>
        <v>0</v>
      </c>
      <c r="K14" s="260">
        <f t="shared" si="0"/>
        <v>0</v>
      </c>
      <c r="L14" s="260">
        <f t="shared" si="0"/>
        <v>0</v>
      </c>
      <c r="M14" s="271" t="s">
        <v>574</v>
      </c>
      <c r="N14" s="273" t="s">
        <v>587</v>
      </c>
    </row>
    <row r="15" spans="1:14">
      <c r="A15" s="2"/>
      <c r="B15" s="281" t="s">
        <v>588</v>
      </c>
      <c r="C15" s="282">
        <v>0</v>
      </c>
      <c r="D15" s="282">
        <v>0</v>
      </c>
      <c r="E15" s="282">
        <v>0</v>
      </c>
      <c r="F15" s="282">
        <v>0</v>
      </c>
      <c r="G15" s="282">
        <v>0</v>
      </c>
      <c r="H15" s="282">
        <v>0</v>
      </c>
      <c r="I15" s="282">
        <v>0</v>
      </c>
      <c r="J15" s="282">
        <v>0</v>
      </c>
      <c r="K15" s="282">
        <v>0</v>
      </c>
      <c r="L15" s="282">
        <v>0</v>
      </c>
      <c r="M15" s="279" t="s">
        <v>574</v>
      </c>
      <c r="N15" s="2" t="s">
        <v>575</v>
      </c>
    </row>
    <row r="16" spans="1:14">
      <c r="A16" s="250" t="s">
        <v>725</v>
      </c>
      <c r="B16" s="272">
        <f>'BoQ NRO Cluster'!O3</f>
        <v>0</v>
      </c>
      <c r="C16" s="269" t="s">
        <v>715</v>
      </c>
      <c r="D16" s="269" t="s">
        <v>716</v>
      </c>
      <c r="E16" s="269" t="s">
        <v>717</v>
      </c>
      <c r="F16" s="269" t="s">
        <v>718</v>
      </c>
      <c r="G16" s="269" t="s">
        <v>719</v>
      </c>
      <c r="H16" s="269" t="s">
        <v>720</v>
      </c>
      <c r="I16" s="269" t="s">
        <v>721</v>
      </c>
      <c r="J16" s="269" t="s">
        <v>722</v>
      </c>
      <c r="K16" s="269" t="s">
        <v>723</v>
      </c>
      <c r="L16" s="269" t="s">
        <v>724</v>
      </c>
      <c r="M16" s="270" t="s">
        <v>9</v>
      </c>
      <c r="N16" s="270" t="s">
        <v>20</v>
      </c>
    </row>
    <row r="17" spans="1:14">
      <c r="A17" s="2" t="s">
        <v>572</v>
      </c>
      <c r="B17" s="279" t="s">
        <v>661</v>
      </c>
      <c r="C17" s="280">
        <v>0</v>
      </c>
      <c r="D17" s="280">
        <v>0</v>
      </c>
      <c r="E17" s="280">
        <v>0</v>
      </c>
      <c r="F17" s="280">
        <v>0</v>
      </c>
      <c r="G17" s="280">
        <v>0</v>
      </c>
      <c r="H17" s="280">
        <v>0</v>
      </c>
      <c r="I17" s="280">
        <v>0</v>
      </c>
      <c r="J17" s="280">
        <v>0</v>
      </c>
      <c r="K17" s="280">
        <v>0</v>
      </c>
      <c r="L17" s="280">
        <v>0</v>
      </c>
      <c r="M17" s="279" t="s">
        <v>574</v>
      </c>
      <c r="N17" s="2" t="s">
        <v>575</v>
      </c>
    </row>
    <row r="18" spans="1:14">
      <c r="A18" s="2"/>
      <c r="B18" s="279" t="s">
        <v>663</v>
      </c>
      <c r="C18" s="280">
        <v>0</v>
      </c>
      <c r="D18" s="280">
        <v>0</v>
      </c>
      <c r="E18" s="280">
        <v>0</v>
      </c>
      <c r="F18" s="280">
        <v>0</v>
      </c>
      <c r="G18" s="280">
        <v>0</v>
      </c>
      <c r="H18" s="280">
        <v>0</v>
      </c>
      <c r="I18" s="280">
        <v>0</v>
      </c>
      <c r="J18" s="280">
        <v>0</v>
      </c>
      <c r="K18" s="280">
        <v>0</v>
      </c>
      <c r="L18" s="280">
        <v>0</v>
      </c>
      <c r="M18" s="279" t="s">
        <v>574</v>
      </c>
      <c r="N18" s="2" t="s">
        <v>575</v>
      </c>
    </row>
    <row r="19" spans="1:14">
      <c r="A19" s="2"/>
      <c r="B19" s="279" t="s">
        <v>665</v>
      </c>
      <c r="C19" s="280">
        <v>0</v>
      </c>
      <c r="D19" s="280">
        <v>0</v>
      </c>
      <c r="E19" s="280">
        <v>0</v>
      </c>
      <c r="F19" s="280">
        <v>0</v>
      </c>
      <c r="G19" s="280">
        <v>0</v>
      </c>
      <c r="H19" s="280">
        <v>0</v>
      </c>
      <c r="I19" s="280">
        <v>0</v>
      </c>
      <c r="J19" s="280">
        <v>0</v>
      </c>
      <c r="K19" s="280">
        <v>0</v>
      </c>
      <c r="L19" s="280">
        <v>0</v>
      </c>
      <c r="M19" s="279" t="s">
        <v>574</v>
      </c>
      <c r="N19" s="2" t="s">
        <v>575</v>
      </c>
    </row>
    <row r="20" spans="1:14">
      <c r="A20" s="2"/>
      <c r="B20" s="279" t="s">
        <v>667</v>
      </c>
      <c r="C20" s="280">
        <v>0</v>
      </c>
      <c r="D20" s="280">
        <v>0</v>
      </c>
      <c r="E20" s="280">
        <v>0</v>
      </c>
      <c r="F20" s="280">
        <v>0</v>
      </c>
      <c r="G20" s="280">
        <v>0</v>
      </c>
      <c r="H20" s="280">
        <v>0</v>
      </c>
      <c r="I20" s="280">
        <v>0</v>
      </c>
      <c r="J20" s="280">
        <v>0</v>
      </c>
      <c r="K20" s="280">
        <v>0</v>
      </c>
      <c r="L20" s="280">
        <v>0</v>
      </c>
      <c r="M20" s="279" t="s">
        <v>574</v>
      </c>
      <c r="N20" s="2" t="s">
        <v>575</v>
      </c>
    </row>
    <row r="21" spans="1:14">
      <c r="A21" s="2"/>
      <c r="B21" s="279" t="s">
        <v>669</v>
      </c>
      <c r="C21" s="280">
        <v>0</v>
      </c>
      <c r="D21" s="280">
        <v>0</v>
      </c>
      <c r="E21" s="280">
        <v>0</v>
      </c>
      <c r="F21" s="280">
        <v>0</v>
      </c>
      <c r="G21" s="280">
        <v>0</v>
      </c>
      <c r="H21" s="280">
        <v>0</v>
      </c>
      <c r="I21" s="280">
        <v>0</v>
      </c>
      <c r="J21" s="280">
        <v>0</v>
      </c>
      <c r="K21" s="280">
        <v>0</v>
      </c>
      <c r="L21" s="280">
        <v>0</v>
      </c>
      <c r="M21" s="279" t="s">
        <v>574</v>
      </c>
      <c r="N21" s="2" t="s">
        <v>575</v>
      </c>
    </row>
    <row r="22" spans="1:14">
      <c r="A22" s="2"/>
      <c r="B22" s="279" t="s">
        <v>671</v>
      </c>
      <c r="C22" s="280">
        <v>0</v>
      </c>
      <c r="D22" s="280">
        <v>0</v>
      </c>
      <c r="E22" s="280">
        <v>0</v>
      </c>
      <c r="F22" s="280">
        <v>0</v>
      </c>
      <c r="G22" s="280">
        <v>0</v>
      </c>
      <c r="H22" s="280">
        <v>0</v>
      </c>
      <c r="I22" s="280">
        <v>0</v>
      </c>
      <c r="J22" s="280">
        <v>0</v>
      </c>
      <c r="K22" s="280">
        <v>0</v>
      </c>
      <c r="L22" s="280">
        <v>0</v>
      </c>
      <c r="M22" s="279" t="s">
        <v>574</v>
      </c>
      <c r="N22" s="2" t="s">
        <v>575</v>
      </c>
    </row>
    <row r="23" spans="1:14">
      <c r="A23" s="305" t="s">
        <v>572</v>
      </c>
      <c r="B23" s="306"/>
      <c r="C23" s="260">
        <f t="shared" ref="C23:L23" si="1">SUM(C17:C22)</f>
        <v>0</v>
      </c>
      <c r="D23" s="260">
        <f t="shared" si="1"/>
        <v>0</v>
      </c>
      <c r="E23" s="260">
        <f t="shared" si="1"/>
        <v>0</v>
      </c>
      <c r="F23" s="260">
        <f t="shared" si="1"/>
        <v>0</v>
      </c>
      <c r="G23" s="260">
        <f t="shared" si="1"/>
        <v>0</v>
      </c>
      <c r="H23" s="260">
        <f t="shared" si="1"/>
        <v>0</v>
      </c>
      <c r="I23" s="260">
        <f t="shared" si="1"/>
        <v>0</v>
      </c>
      <c r="J23" s="260">
        <f t="shared" si="1"/>
        <v>0</v>
      </c>
      <c r="K23" s="260">
        <f t="shared" si="1"/>
        <v>0</v>
      </c>
      <c r="L23" s="260">
        <f t="shared" si="1"/>
        <v>0</v>
      </c>
      <c r="M23" s="1" t="s">
        <v>574</v>
      </c>
      <c r="N23" s="2" t="s">
        <v>587</v>
      </c>
    </row>
    <row r="24" spans="1:14">
      <c r="A24" s="2" t="s">
        <v>658</v>
      </c>
      <c r="B24" s="2" t="str">
        <f t="shared" ref="B24:B35" si="2">B2</f>
        <v>Line A - 24C/2T</v>
      </c>
      <c r="C24" s="261">
        <f>IF(C2=0,0,(ROUNDUP(((C2)+(C$61+C$53)*20)*1.05,0)))</f>
        <v>0</v>
      </c>
      <c r="D24" s="261">
        <f t="shared" ref="D24:L24" si="3">IF(D2=0,0,(ROUNDUP(((D2)+(D$61+D$53)*20)*1.05,0)))</f>
        <v>0</v>
      </c>
      <c r="E24" s="261">
        <f t="shared" si="3"/>
        <v>0</v>
      </c>
      <c r="F24" s="261">
        <f t="shared" si="3"/>
        <v>0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 t="shared" si="3"/>
        <v>0</v>
      </c>
      <c r="L24" s="261">
        <f t="shared" si="3"/>
        <v>0</v>
      </c>
      <c r="M24" s="2" t="s">
        <v>574</v>
      </c>
      <c r="N24" s="2" t="s">
        <v>587</v>
      </c>
    </row>
    <row r="25" spans="1:14">
      <c r="A25" s="2"/>
      <c r="B25" s="2" t="str">
        <f t="shared" si="2"/>
        <v>Line B - 24C/2T</v>
      </c>
      <c r="C25" s="261">
        <f>IF(C3=0,0,(ROUNDUP(((C3)+(C$62+C$54)*20)*1.05,0)))</f>
        <v>0</v>
      </c>
      <c r="D25" s="261">
        <f t="shared" ref="D25:L25" si="4">IF(D3=0,0,(ROUNDUP(((D3)+(D$62+D$54)*20)*1.05,0)))</f>
        <v>0</v>
      </c>
      <c r="E25" s="261">
        <f t="shared" si="4"/>
        <v>0</v>
      </c>
      <c r="F25" s="261">
        <f t="shared" si="4"/>
        <v>0</v>
      </c>
      <c r="G25" s="261">
        <f t="shared" si="4"/>
        <v>0</v>
      </c>
      <c r="H25" s="261">
        <f t="shared" si="4"/>
        <v>0</v>
      </c>
      <c r="I25" s="261">
        <f t="shared" si="4"/>
        <v>0</v>
      </c>
      <c r="J25" s="261">
        <f t="shared" si="4"/>
        <v>0</v>
      </c>
      <c r="K25" s="261">
        <f t="shared" si="4"/>
        <v>0</v>
      </c>
      <c r="L25" s="261">
        <f t="shared" si="4"/>
        <v>0</v>
      </c>
      <c r="M25" s="2" t="s">
        <v>574</v>
      </c>
      <c r="N25" s="2" t="s">
        <v>587</v>
      </c>
    </row>
    <row r="26" spans="1:14">
      <c r="A26" s="2"/>
      <c r="B26" s="2" t="str">
        <f t="shared" si="2"/>
        <v>Line C - 24C/2T</v>
      </c>
      <c r="C26" s="261">
        <f>IF(C4=0,0,(ROUNDUP(((C4)+(C$63+C$55)*20)*1.05,0)))</f>
        <v>0</v>
      </c>
      <c r="D26" s="261">
        <f t="shared" ref="D26:L26" si="5">IF(D4=0,0,(ROUNDUP(((D4)+(D$63+D$55)*20)*1.05,0)))</f>
        <v>0</v>
      </c>
      <c r="E26" s="261">
        <f t="shared" si="5"/>
        <v>0</v>
      </c>
      <c r="F26" s="261">
        <f t="shared" si="5"/>
        <v>0</v>
      </c>
      <c r="G26" s="261">
        <f t="shared" si="5"/>
        <v>0</v>
      </c>
      <c r="H26" s="261">
        <f t="shared" si="5"/>
        <v>0</v>
      </c>
      <c r="I26" s="261">
        <f t="shared" si="5"/>
        <v>0</v>
      </c>
      <c r="J26" s="261">
        <f t="shared" si="5"/>
        <v>0</v>
      </c>
      <c r="K26" s="261">
        <f t="shared" si="5"/>
        <v>0</v>
      </c>
      <c r="L26" s="261">
        <f t="shared" si="5"/>
        <v>0</v>
      </c>
      <c r="M26" s="2" t="s">
        <v>574</v>
      </c>
      <c r="N26" s="2" t="s">
        <v>587</v>
      </c>
    </row>
    <row r="27" spans="1:14">
      <c r="A27" s="2"/>
      <c r="B27" s="2" t="str">
        <f t="shared" si="2"/>
        <v>Line D - 24C/2T</v>
      </c>
      <c r="C27" s="261">
        <f>IF(C5=0,0,(ROUNDUP(((C5)+(C$64+C$56)*20)*1.05,0)))</f>
        <v>0</v>
      </c>
      <c r="D27" s="261">
        <f t="shared" ref="D27:L27" si="6">IF(D5=0,0,(ROUNDUP(((D5)+(D$64+D$56)*20)*1.05,0)))</f>
        <v>0</v>
      </c>
      <c r="E27" s="261">
        <f t="shared" si="6"/>
        <v>0</v>
      </c>
      <c r="F27" s="261">
        <f t="shared" si="6"/>
        <v>0</v>
      </c>
      <c r="G27" s="261">
        <f t="shared" si="6"/>
        <v>0</v>
      </c>
      <c r="H27" s="261">
        <f t="shared" si="6"/>
        <v>0</v>
      </c>
      <c r="I27" s="261">
        <f t="shared" si="6"/>
        <v>0</v>
      </c>
      <c r="J27" s="261">
        <f t="shared" si="6"/>
        <v>0</v>
      </c>
      <c r="K27" s="261">
        <f t="shared" si="6"/>
        <v>0</v>
      </c>
      <c r="L27" s="261">
        <f t="shared" si="6"/>
        <v>0</v>
      </c>
      <c r="M27" s="2" t="s">
        <v>574</v>
      </c>
      <c r="N27" s="2" t="s">
        <v>587</v>
      </c>
    </row>
    <row r="28" spans="1:14">
      <c r="A28" s="2"/>
      <c r="B28" s="2" t="str">
        <f t="shared" si="2"/>
        <v>Line A - 36C/3T</v>
      </c>
      <c r="C28" s="261">
        <f>IF(C6=0,0,(ROUNDUP(((C6)+(C$61+C$53)*20)*1.05,0)))</f>
        <v>0</v>
      </c>
      <c r="D28" s="261">
        <f t="shared" ref="D28:L28" si="7">IF(D6=0,0,(ROUNDUP(((D6)+(D$61+D$53)*20)*1.05,0)))</f>
        <v>0</v>
      </c>
      <c r="E28" s="261">
        <f t="shared" si="7"/>
        <v>0</v>
      </c>
      <c r="F28" s="261">
        <f t="shared" si="7"/>
        <v>0</v>
      </c>
      <c r="G28" s="261">
        <f t="shared" si="7"/>
        <v>0</v>
      </c>
      <c r="H28" s="261">
        <f t="shared" si="7"/>
        <v>0</v>
      </c>
      <c r="I28" s="261">
        <f t="shared" si="7"/>
        <v>0</v>
      </c>
      <c r="J28" s="261">
        <f t="shared" si="7"/>
        <v>0</v>
      </c>
      <c r="K28" s="261">
        <f t="shared" si="7"/>
        <v>0</v>
      </c>
      <c r="L28" s="261">
        <f t="shared" si="7"/>
        <v>0</v>
      </c>
      <c r="M28" s="2" t="s">
        <v>574</v>
      </c>
      <c r="N28" s="2" t="s">
        <v>587</v>
      </c>
    </row>
    <row r="29" spans="1:14">
      <c r="A29" s="2"/>
      <c r="B29" s="2" t="str">
        <f t="shared" si="2"/>
        <v>Line B - 36C/3T</v>
      </c>
      <c r="C29" s="261">
        <f>IF(C7=0,0,(ROUNDUP(((C7)+(C$62+C$54)*20)*1.05,0)))</f>
        <v>0</v>
      </c>
      <c r="D29" s="261">
        <f t="shared" ref="D29:L29" si="8">IF(D7=0,0,(ROUNDUP(((D7)+(D$62+D$54)*20)*1.05,0)))</f>
        <v>0</v>
      </c>
      <c r="E29" s="261">
        <f t="shared" si="8"/>
        <v>0</v>
      </c>
      <c r="F29" s="261">
        <f t="shared" si="8"/>
        <v>0</v>
      </c>
      <c r="G29" s="261">
        <f t="shared" si="8"/>
        <v>0</v>
      </c>
      <c r="H29" s="261">
        <f t="shared" si="8"/>
        <v>0</v>
      </c>
      <c r="I29" s="261">
        <f t="shared" si="8"/>
        <v>0</v>
      </c>
      <c r="J29" s="261">
        <f t="shared" si="8"/>
        <v>0</v>
      </c>
      <c r="K29" s="261">
        <f t="shared" si="8"/>
        <v>0</v>
      </c>
      <c r="L29" s="261">
        <f t="shared" si="8"/>
        <v>0</v>
      </c>
      <c r="M29" s="2" t="s">
        <v>574</v>
      </c>
      <c r="N29" s="2" t="s">
        <v>587</v>
      </c>
    </row>
    <row r="30" spans="1:14">
      <c r="A30" s="2"/>
      <c r="B30" s="2" t="str">
        <f t="shared" si="2"/>
        <v>Line C - 36C/3T</v>
      </c>
      <c r="C30" s="261">
        <f>IF(C8=0,0,(ROUNDUP(((C8)+(C$63+C$55)*20)*1.05,0)))</f>
        <v>0</v>
      </c>
      <c r="D30" s="261">
        <f t="shared" ref="D30:L30" si="9">IF(D8=0,0,(ROUNDUP(((D8)+(D$63+D$55)*20)*1.05,0)))</f>
        <v>0</v>
      </c>
      <c r="E30" s="261">
        <f t="shared" si="9"/>
        <v>0</v>
      </c>
      <c r="F30" s="261">
        <f t="shared" si="9"/>
        <v>0</v>
      </c>
      <c r="G30" s="261">
        <f t="shared" si="9"/>
        <v>0</v>
      </c>
      <c r="H30" s="261">
        <f t="shared" si="9"/>
        <v>0</v>
      </c>
      <c r="I30" s="261">
        <f t="shared" si="9"/>
        <v>0</v>
      </c>
      <c r="J30" s="261">
        <f t="shared" si="9"/>
        <v>0</v>
      </c>
      <c r="K30" s="261">
        <f t="shared" si="9"/>
        <v>0</v>
      </c>
      <c r="L30" s="261">
        <f t="shared" si="9"/>
        <v>0</v>
      </c>
      <c r="M30" s="2" t="s">
        <v>574</v>
      </c>
      <c r="N30" s="2" t="s">
        <v>587</v>
      </c>
    </row>
    <row r="31" spans="1:14">
      <c r="A31" s="2"/>
      <c r="B31" s="2" t="str">
        <f t="shared" si="2"/>
        <v>Line D - 36C/3T</v>
      </c>
      <c r="C31" s="261">
        <f>IF(C9=0,0,(ROUNDUP(((C9)+(C$64+C$56)*20)*1.05,0)))</f>
        <v>0</v>
      </c>
      <c r="D31" s="261">
        <f t="shared" ref="D31:L31" si="10">IF(D9=0,0,(ROUNDUP(((D9)+(D$64+D$56)*20)*1.05,0)))</f>
        <v>0</v>
      </c>
      <c r="E31" s="261">
        <f t="shared" si="10"/>
        <v>0</v>
      </c>
      <c r="F31" s="261">
        <f t="shared" si="10"/>
        <v>0</v>
      </c>
      <c r="G31" s="261">
        <f t="shared" si="10"/>
        <v>0</v>
      </c>
      <c r="H31" s="261">
        <f t="shared" si="10"/>
        <v>0</v>
      </c>
      <c r="I31" s="261">
        <f t="shared" si="10"/>
        <v>0</v>
      </c>
      <c r="J31" s="261">
        <f t="shared" si="10"/>
        <v>0</v>
      </c>
      <c r="K31" s="261">
        <f t="shared" si="10"/>
        <v>0</v>
      </c>
      <c r="L31" s="261">
        <f t="shared" si="10"/>
        <v>0</v>
      </c>
      <c r="M31" s="2" t="s">
        <v>574</v>
      </c>
      <c r="N31" s="2" t="s">
        <v>587</v>
      </c>
    </row>
    <row r="32" spans="1:14">
      <c r="A32" s="2"/>
      <c r="B32" s="2" t="str">
        <f t="shared" si="2"/>
        <v>Line A - 48C/4T</v>
      </c>
      <c r="C32" s="261">
        <f>IF(C10=0,0,(ROUNDUP(((C10)+(C$61+C$53)*20)*1.05,0)))</f>
        <v>0</v>
      </c>
      <c r="D32" s="261">
        <f t="shared" ref="D32:L32" si="11">IF(D10=0,0,(ROUNDUP(((D10)+(D$61+D$53)*20)*1.05,0)))</f>
        <v>0</v>
      </c>
      <c r="E32" s="261">
        <f t="shared" si="11"/>
        <v>0</v>
      </c>
      <c r="F32" s="261">
        <f t="shared" si="11"/>
        <v>0</v>
      </c>
      <c r="G32" s="261">
        <f t="shared" si="11"/>
        <v>0</v>
      </c>
      <c r="H32" s="261">
        <f t="shared" si="11"/>
        <v>0</v>
      </c>
      <c r="I32" s="261">
        <f t="shared" si="11"/>
        <v>0</v>
      </c>
      <c r="J32" s="261">
        <f t="shared" si="11"/>
        <v>0</v>
      </c>
      <c r="K32" s="261">
        <f t="shared" si="11"/>
        <v>0</v>
      </c>
      <c r="L32" s="261">
        <f t="shared" si="11"/>
        <v>0</v>
      </c>
      <c r="M32" s="2" t="s">
        <v>574</v>
      </c>
      <c r="N32" s="2" t="s">
        <v>587</v>
      </c>
    </row>
    <row r="33" spans="1:14">
      <c r="A33" s="2"/>
      <c r="B33" s="2" t="str">
        <f t="shared" si="2"/>
        <v>Line B - 48C/4T</v>
      </c>
      <c r="C33" s="261">
        <f>IF(C11=0,0,(ROUNDUP(((C11)+(C$62+C$54)*20)*1.05,0)))</f>
        <v>0</v>
      </c>
      <c r="D33" s="261">
        <f t="shared" ref="D33:L33" si="12">IF(D11=0,0,(ROUNDUP(((D11)+(D$62+D$54)*20)*1.05,0)))</f>
        <v>0</v>
      </c>
      <c r="E33" s="261">
        <f t="shared" si="12"/>
        <v>0</v>
      </c>
      <c r="F33" s="261">
        <f t="shared" si="12"/>
        <v>0</v>
      </c>
      <c r="G33" s="261">
        <f t="shared" si="12"/>
        <v>0</v>
      </c>
      <c r="H33" s="261">
        <f t="shared" si="12"/>
        <v>0</v>
      </c>
      <c r="I33" s="261">
        <f t="shared" si="12"/>
        <v>0</v>
      </c>
      <c r="J33" s="261">
        <f t="shared" si="12"/>
        <v>0</v>
      </c>
      <c r="K33" s="261">
        <f t="shared" si="12"/>
        <v>0</v>
      </c>
      <c r="L33" s="261">
        <f t="shared" si="12"/>
        <v>0</v>
      </c>
      <c r="M33" s="2" t="s">
        <v>574</v>
      </c>
      <c r="N33" s="2" t="s">
        <v>587</v>
      </c>
    </row>
    <row r="34" spans="1:14">
      <c r="A34" s="2"/>
      <c r="B34" s="2" t="str">
        <f t="shared" si="2"/>
        <v>Line C - 48C/4T</v>
      </c>
      <c r="C34" s="261">
        <f>IF(C12=0,0,(ROUNDUP(((C12)+(C$63+C$55)*20)*1.05,0)))</f>
        <v>0</v>
      </c>
      <c r="D34" s="261">
        <f t="shared" ref="D34:L34" si="13">IF(D12=0,0,(ROUNDUP(((D12)+(D$63+D$55)*20)*1.05,0)))</f>
        <v>0</v>
      </c>
      <c r="E34" s="261">
        <f t="shared" si="13"/>
        <v>0</v>
      </c>
      <c r="F34" s="261">
        <f t="shared" si="13"/>
        <v>0</v>
      </c>
      <c r="G34" s="261">
        <f t="shared" si="13"/>
        <v>0</v>
      </c>
      <c r="H34" s="261">
        <f t="shared" si="13"/>
        <v>0</v>
      </c>
      <c r="I34" s="261">
        <f t="shared" si="13"/>
        <v>0</v>
      </c>
      <c r="J34" s="261">
        <f t="shared" si="13"/>
        <v>0</v>
      </c>
      <c r="K34" s="261">
        <f t="shared" si="13"/>
        <v>0</v>
      </c>
      <c r="L34" s="261">
        <f t="shared" si="13"/>
        <v>0</v>
      </c>
      <c r="M34" s="2" t="s">
        <v>574</v>
      </c>
      <c r="N34" s="2" t="s">
        <v>587</v>
      </c>
    </row>
    <row r="35" spans="1:14">
      <c r="A35" s="2"/>
      <c r="B35" s="2" t="str">
        <f t="shared" si="2"/>
        <v>Line D - 48C/4T</v>
      </c>
      <c r="C35" s="261">
        <f>IF(C13=0,0,(ROUNDUP(((C13)+(C$64+C$56)*20)*1.05,0)))</f>
        <v>0</v>
      </c>
      <c r="D35" s="261">
        <f t="shared" ref="D35:L35" si="14">IF(D13=0,0,(ROUNDUP(((D13)+(D$64+D$56)*20)*1.05,0)))</f>
        <v>0</v>
      </c>
      <c r="E35" s="261">
        <f t="shared" si="14"/>
        <v>0</v>
      </c>
      <c r="F35" s="261">
        <f t="shared" si="14"/>
        <v>0</v>
      </c>
      <c r="G35" s="261">
        <f t="shared" si="14"/>
        <v>0</v>
      </c>
      <c r="H35" s="261">
        <f t="shared" si="14"/>
        <v>0</v>
      </c>
      <c r="I35" s="261">
        <f t="shared" si="14"/>
        <v>0</v>
      </c>
      <c r="J35" s="261">
        <f t="shared" si="14"/>
        <v>0</v>
      </c>
      <c r="K35" s="261">
        <f t="shared" si="14"/>
        <v>0</v>
      </c>
      <c r="L35" s="261">
        <f t="shared" si="14"/>
        <v>0</v>
      </c>
      <c r="M35" s="2" t="s">
        <v>574</v>
      </c>
      <c r="N35" s="2" t="s">
        <v>587</v>
      </c>
    </row>
    <row r="36" spans="1:14">
      <c r="A36" s="305" t="s">
        <v>589</v>
      </c>
      <c r="B36" s="306"/>
      <c r="C36" s="274">
        <f t="shared" ref="C36:L36" si="15">SUM(C24:C35)</f>
        <v>0</v>
      </c>
      <c r="D36" s="274">
        <f t="shared" si="15"/>
        <v>0</v>
      </c>
      <c r="E36" s="274">
        <f t="shared" si="15"/>
        <v>0</v>
      </c>
      <c r="F36" s="274">
        <f t="shared" si="15"/>
        <v>0</v>
      </c>
      <c r="G36" s="274">
        <f t="shared" si="15"/>
        <v>0</v>
      </c>
      <c r="H36" s="274">
        <f t="shared" si="15"/>
        <v>0</v>
      </c>
      <c r="I36" s="274">
        <f t="shared" si="15"/>
        <v>0</v>
      </c>
      <c r="J36" s="274">
        <f t="shared" si="15"/>
        <v>0</v>
      </c>
      <c r="K36" s="274">
        <f t="shared" si="15"/>
        <v>0</v>
      </c>
      <c r="L36" s="274">
        <f t="shared" si="15"/>
        <v>0</v>
      </c>
      <c r="M36" s="1" t="s">
        <v>574</v>
      </c>
      <c r="N36" s="2" t="s">
        <v>587</v>
      </c>
    </row>
    <row r="37" spans="1:14">
      <c r="A37" s="2"/>
      <c r="B37" s="281" t="s">
        <v>657</v>
      </c>
      <c r="C37" s="283">
        <f t="shared" ref="C37:L37" si="16">ROUNDUP(((C15*5%)+C15),0)</f>
        <v>0</v>
      </c>
      <c r="D37" s="283">
        <f t="shared" si="16"/>
        <v>0</v>
      </c>
      <c r="E37" s="283">
        <f t="shared" si="16"/>
        <v>0</v>
      </c>
      <c r="F37" s="283">
        <f t="shared" si="16"/>
        <v>0</v>
      </c>
      <c r="G37" s="283">
        <f t="shared" si="16"/>
        <v>0</v>
      </c>
      <c r="H37" s="283">
        <f t="shared" si="16"/>
        <v>0</v>
      </c>
      <c r="I37" s="283">
        <f t="shared" si="16"/>
        <v>0</v>
      </c>
      <c r="J37" s="283">
        <f t="shared" si="16"/>
        <v>0</v>
      </c>
      <c r="K37" s="283">
        <f t="shared" si="16"/>
        <v>0</v>
      </c>
      <c r="L37" s="283">
        <f t="shared" si="16"/>
        <v>0</v>
      </c>
      <c r="M37" s="279" t="s">
        <v>574</v>
      </c>
      <c r="N37" s="2" t="s">
        <v>587</v>
      </c>
    </row>
    <row r="38" spans="1:14">
      <c r="A38" s="2" t="s">
        <v>590</v>
      </c>
      <c r="B38" s="3" t="s">
        <v>591</v>
      </c>
      <c r="C38" s="259">
        <v>0</v>
      </c>
      <c r="D38" s="259">
        <v>0</v>
      </c>
      <c r="E38" s="259">
        <v>0</v>
      </c>
      <c r="F38" s="259">
        <v>0</v>
      </c>
      <c r="G38" s="259">
        <v>0</v>
      </c>
      <c r="H38" s="259">
        <v>0</v>
      </c>
      <c r="I38" s="259">
        <v>0</v>
      </c>
      <c r="J38" s="259">
        <v>0</v>
      </c>
      <c r="K38" s="259">
        <v>0</v>
      </c>
      <c r="L38" s="259">
        <v>0</v>
      </c>
      <c r="M38" s="3" t="s">
        <v>65</v>
      </c>
      <c r="N38" s="2" t="s">
        <v>575</v>
      </c>
    </row>
    <row r="39" spans="1:14">
      <c r="A39" s="2"/>
      <c r="B39" s="3" t="s">
        <v>592</v>
      </c>
      <c r="C39" s="259">
        <v>0</v>
      </c>
      <c r="D39" s="259">
        <v>0</v>
      </c>
      <c r="E39" s="259">
        <v>0</v>
      </c>
      <c r="F39" s="259">
        <v>0</v>
      </c>
      <c r="G39" s="259">
        <v>0</v>
      </c>
      <c r="H39" s="259">
        <v>0</v>
      </c>
      <c r="I39" s="259">
        <v>0</v>
      </c>
      <c r="J39" s="259">
        <v>0</v>
      </c>
      <c r="K39" s="259">
        <v>0</v>
      </c>
      <c r="L39" s="259">
        <v>0</v>
      </c>
      <c r="M39" s="3" t="s">
        <v>65</v>
      </c>
      <c r="N39" s="2" t="s">
        <v>575</v>
      </c>
    </row>
    <row r="40" spans="1:14">
      <c r="A40" s="2"/>
      <c r="B40" s="3" t="s">
        <v>594</v>
      </c>
      <c r="C40" s="259">
        <v>0</v>
      </c>
      <c r="D40" s="259">
        <v>0</v>
      </c>
      <c r="E40" s="259">
        <v>0</v>
      </c>
      <c r="F40" s="259">
        <v>0</v>
      </c>
      <c r="G40" s="259">
        <v>0</v>
      </c>
      <c r="H40" s="259">
        <v>0</v>
      </c>
      <c r="I40" s="259">
        <v>0</v>
      </c>
      <c r="J40" s="259">
        <v>0</v>
      </c>
      <c r="K40" s="259">
        <v>0</v>
      </c>
      <c r="L40" s="259">
        <v>0</v>
      </c>
      <c r="M40" s="3" t="s">
        <v>65</v>
      </c>
      <c r="N40" s="2" t="s">
        <v>575</v>
      </c>
    </row>
    <row r="41" spans="1:14">
      <c r="A41" s="2"/>
      <c r="B41" s="3" t="s">
        <v>595</v>
      </c>
      <c r="C41" s="259">
        <v>0</v>
      </c>
      <c r="D41" s="259">
        <v>0</v>
      </c>
      <c r="E41" s="259">
        <v>0</v>
      </c>
      <c r="F41" s="259">
        <v>0</v>
      </c>
      <c r="G41" s="259">
        <v>0</v>
      </c>
      <c r="H41" s="259">
        <v>0</v>
      </c>
      <c r="I41" s="259">
        <v>0</v>
      </c>
      <c r="J41" s="259">
        <v>0</v>
      </c>
      <c r="K41" s="259">
        <v>0</v>
      </c>
      <c r="L41" s="259">
        <v>0</v>
      </c>
      <c r="M41" s="3" t="s">
        <v>65</v>
      </c>
      <c r="N41" s="2" t="s">
        <v>575</v>
      </c>
    </row>
    <row r="42" spans="1:14">
      <c r="A42" s="273" t="s">
        <v>730</v>
      </c>
      <c r="B42" s="278" t="s">
        <v>729</v>
      </c>
      <c r="C42" s="259">
        <v>0</v>
      </c>
      <c r="D42" s="259">
        <v>0</v>
      </c>
      <c r="E42" s="259">
        <v>0</v>
      </c>
      <c r="F42" s="259">
        <v>0</v>
      </c>
      <c r="G42" s="259">
        <v>0</v>
      </c>
      <c r="H42" s="259">
        <v>0</v>
      </c>
      <c r="I42" s="259">
        <v>0</v>
      </c>
      <c r="J42" s="259">
        <v>0</v>
      </c>
      <c r="K42" s="259">
        <v>0</v>
      </c>
      <c r="L42" s="259">
        <v>0</v>
      </c>
      <c r="M42" s="3"/>
      <c r="N42" s="2"/>
    </row>
    <row r="43" spans="1:14">
      <c r="A43" s="2" t="s">
        <v>596</v>
      </c>
      <c r="B43" s="2" t="s">
        <v>597</v>
      </c>
      <c r="C43" s="261">
        <v>0</v>
      </c>
      <c r="D43" s="261">
        <v>0</v>
      </c>
      <c r="E43" s="261">
        <v>0</v>
      </c>
      <c r="F43" s="261">
        <v>0</v>
      </c>
      <c r="G43" s="261">
        <v>0</v>
      </c>
      <c r="H43" s="261">
        <v>0</v>
      </c>
      <c r="I43" s="261">
        <v>0</v>
      </c>
      <c r="J43" s="261">
        <v>0</v>
      </c>
      <c r="K43" s="261">
        <v>0</v>
      </c>
      <c r="L43" s="261">
        <v>0</v>
      </c>
      <c r="M43" s="2" t="s">
        <v>92</v>
      </c>
      <c r="N43" s="2" t="s">
        <v>587</v>
      </c>
    </row>
    <row r="44" spans="1:14">
      <c r="A44" s="2"/>
      <c r="B44" s="2" t="s">
        <v>599</v>
      </c>
      <c r="C44" s="261">
        <v>0</v>
      </c>
      <c r="D44" s="261">
        <v>0</v>
      </c>
      <c r="E44" s="261">
        <v>0</v>
      </c>
      <c r="F44" s="261">
        <v>0</v>
      </c>
      <c r="G44" s="261">
        <v>0</v>
      </c>
      <c r="H44" s="261">
        <v>0</v>
      </c>
      <c r="I44" s="261">
        <v>0</v>
      </c>
      <c r="J44" s="261">
        <v>0</v>
      </c>
      <c r="K44" s="261">
        <v>0</v>
      </c>
      <c r="L44" s="261">
        <v>0</v>
      </c>
      <c r="M44" s="2" t="s">
        <v>92</v>
      </c>
      <c r="N44" s="2" t="s">
        <v>587</v>
      </c>
    </row>
    <row r="45" spans="1:14">
      <c r="A45" s="2" t="s">
        <v>600</v>
      </c>
      <c r="B45" s="3" t="s">
        <v>601</v>
      </c>
      <c r="C45" s="259">
        <v>0</v>
      </c>
      <c r="D45" s="259">
        <v>0</v>
      </c>
      <c r="E45" s="259">
        <v>0</v>
      </c>
      <c r="F45" s="259">
        <v>0</v>
      </c>
      <c r="G45" s="259">
        <v>0</v>
      </c>
      <c r="H45" s="259">
        <v>0</v>
      </c>
      <c r="I45" s="259">
        <v>0</v>
      </c>
      <c r="J45" s="259">
        <v>0</v>
      </c>
      <c r="K45" s="259">
        <v>0</v>
      </c>
      <c r="L45" s="259">
        <v>0</v>
      </c>
      <c r="M45" s="3" t="s">
        <v>92</v>
      </c>
      <c r="N45" s="2" t="s">
        <v>575</v>
      </c>
    </row>
    <row r="46" spans="1:14">
      <c r="A46" s="2"/>
      <c r="B46" s="3" t="s">
        <v>603</v>
      </c>
      <c r="C46" s="259">
        <v>0</v>
      </c>
      <c r="D46" s="259">
        <v>0</v>
      </c>
      <c r="E46" s="259">
        <v>0</v>
      </c>
      <c r="F46" s="259">
        <v>0</v>
      </c>
      <c r="G46" s="259">
        <v>0</v>
      </c>
      <c r="H46" s="259">
        <v>0</v>
      </c>
      <c r="I46" s="259">
        <v>0</v>
      </c>
      <c r="J46" s="259">
        <v>0</v>
      </c>
      <c r="K46" s="259">
        <v>0</v>
      </c>
      <c r="L46" s="259">
        <v>0</v>
      </c>
      <c r="M46" s="3" t="s">
        <v>92</v>
      </c>
      <c r="N46" s="2" t="s">
        <v>575</v>
      </c>
    </row>
    <row r="47" spans="1:14">
      <c r="A47" s="2"/>
      <c r="B47" s="3" t="s">
        <v>604</v>
      </c>
      <c r="C47" s="259">
        <v>0</v>
      </c>
      <c r="D47" s="259">
        <v>0</v>
      </c>
      <c r="E47" s="259">
        <v>0</v>
      </c>
      <c r="F47" s="259">
        <v>0</v>
      </c>
      <c r="G47" s="259">
        <v>0</v>
      </c>
      <c r="H47" s="259">
        <v>0</v>
      </c>
      <c r="I47" s="259">
        <v>0</v>
      </c>
      <c r="J47" s="259">
        <v>0</v>
      </c>
      <c r="K47" s="259">
        <v>0</v>
      </c>
      <c r="L47" s="259">
        <v>0</v>
      </c>
      <c r="M47" s="3" t="s">
        <v>92</v>
      </c>
      <c r="N47" s="2" t="s">
        <v>575</v>
      </c>
    </row>
    <row r="48" spans="1:14">
      <c r="A48" s="2"/>
      <c r="B48" s="3" t="s">
        <v>606</v>
      </c>
      <c r="C48" s="259">
        <v>0</v>
      </c>
      <c r="D48" s="259">
        <v>0</v>
      </c>
      <c r="E48" s="259">
        <v>0</v>
      </c>
      <c r="F48" s="259">
        <v>0</v>
      </c>
      <c r="G48" s="259">
        <v>0</v>
      </c>
      <c r="H48" s="259">
        <v>0</v>
      </c>
      <c r="I48" s="259">
        <v>0</v>
      </c>
      <c r="J48" s="259">
        <v>0</v>
      </c>
      <c r="K48" s="259">
        <v>0</v>
      </c>
      <c r="L48" s="259">
        <v>0</v>
      </c>
      <c r="M48" s="3" t="s">
        <v>92</v>
      </c>
      <c r="N48" s="2" t="s">
        <v>575</v>
      </c>
    </row>
    <row r="49" spans="1:14">
      <c r="A49" s="273" t="s">
        <v>731</v>
      </c>
      <c r="B49" s="279" t="s">
        <v>601</v>
      </c>
      <c r="C49" s="280">
        <v>0</v>
      </c>
      <c r="D49" s="280">
        <v>0</v>
      </c>
      <c r="E49" s="280">
        <v>0</v>
      </c>
      <c r="F49" s="280">
        <v>0</v>
      </c>
      <c r="G49" s="280">
        <v>0</v>
      </c>
      <c r="H49" s="280">
        <v>0</v>
      </c>
      <c r="I49" s="280">
        <v>0</v>
      </c>
      <c r="J49" s="280">
        <v>0</v>
      </c>
      <c r="K49" s="280">
        <v>0</v>
      </c>
      <c r="L49" s="280">
        <v>0</v>
      </c>
      <c r="M49" s="279" t="s">
        <v>92</v>
      </c>
      <c r="N49" s="2" t="s">
        <v>575</v>
      </c>
    </row>
    <row r="50" spans="1:14">
      <c r="A50" s="2"/>
      <c r="B50" s="279" t="s">
        <v>603</v>
      </c>
      <c r="C50" s="280">
        <v>0</v>
      </c>
      <c r="D50" s="280">
        <v>0</v>
      </c>
      <c r="E50" s="280">
        <v>0</v>
      </c>
      <c r="F50" s="280">
        <v>0</v>
      </c>
      <c r="G50" s="280">
        <v>0</v>
      </c>
      <c r="H50" s="280">
        <v>0</v>
      </c>
      <c r="I50" s="280">
        <v>0</v>
      </c>
      <c r="J50" s="280">
        <v>0</v>
      </c>
      <c r="K50" s="280">
        <v>0</v>
      </c>
      <c r="L50" s="280">
        <v>0</v>
      </c>
      <c r="M50" s="279" t="s">
        <v>92</v>
      </c>
      <c r="N50" s="2" t="s">
        <v>575</v>
      </c>
    </row>
    <row r="51" spans="1:14">
      <c r="A51" s="2"/>
      <c r="B51" s="279" t="s">
        <v>604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79" t="s">
        <v>92</v>
      </c>
      <c r="N51" s="2" t="s">
        <v>575</v>
      </c>
    </row>
    <row r="52" spans="1:14">
      <c r="A52" s="2"/>
      <c r="B52" s="279" t="s">
        <v>606</v>
      </c>
      <c r="C52" s="280">
        <v>0</v>
      </c>
      <c r="D52" s="280">
        <v>0</v>
      </c>
      <c r="E52" s="280">
        <v>0</v>
      </c>
      <c r="F52" s="280">
        <v>0</v>
      </c>
      <c r="G52" s="280">
        <v>0</v>
      </c>
      <c r="H52" s="280">
        <v>0</v>
      </c>
      <c r="I52" s="280">
        <v>0</v>
      </c>
      <c r="J52" s="280">
        <v>0</v>
      </c>
      <c r="K52" s="280">
        <v>0</v>
      </c>
      <c r="L52" s="280">
        <v>0</v>
      </c>
      <c r="M52" s="279" t="s">
        <v>92</v>
      </c>
      <c r="N52" s="2" t="s">
        <v>575</v>
      </c>
    </row>
    <row r="53" spans="1:14">
      <c r="A53" s="2" t="s">
        <v>608</v>
      </c>
      <c r="B53" s="3" t="str">
        <f t="shared" ref="B53:B60" si="17">B45</f>
        <v>Line A</v>
      </c>
      <c r="C53" s="284">
        <f t="shared" ref="C53:L53" si="18">IF(C45&gt;=1,1,0)</f>
        <v>0</v>
      </c>
      <c r="D53" s="284">
        <f t="shared" si="18"/>
        <v>0</v>
      </c>
      <c r="E53" s="284">
        <f t="shared" si="18"/>
        <v>0</v>
      </c>
      <c r="F53" s="284">
        <f t="shared" si="18"/>
        <v>0</v>
      </c>
      <c r="G53" s="284">
        <f t="shared" si="18"/>
        <v>0</v>
      </c>
      <c r="H53" s="284">
        <f t="shared" si="18"/>
        <v>0</v>
      </c>
      <c r="I53" s="284">
        <f t="shared" si="18"/>
        <v>0</v>
      </c>
      <c r="J53" s="284">
        <f t="shared" si="18"/>
        <v>0</v>
      </c>
      <c r="K53" s="284">
        <f t="shared" si="18"/>
        <v>0</v>
      </c>
      <c r="L53" s="284">
        <f t="shared" si="18"/>
        <v>0</v>
      </c>
      <c r="M53" s="3" t="s">
        <v>609</v>
      </c>
      <c r="N53" s="2" t="s">
        <v>587</v>
      </c>
    </row>
    <row r="54" spans="1:14">
      <c r="A54" s="2"/>
      <c r="B54" s="3" t="str">
        <f t="shared" si="17"/>
        <v>Line B</v>
      </c>
      <c r="C54" s="284">
        <f t="shared" ref="C54:L54" si="19">IF(C46&gt;=1,1,0)</f>
        <v>0</v>
      </c>
      <c r="D54" s="284">
        <f t="shared" si="19"/>
        <v>0</v>
      </c>
      <c r="E54" s="284">
        <f t="shared" si="19"/>
        <v>0</v>
      </c>
      <c r="F54" s="284">
        <f t="shared" si="19"/>
        <v>0</v>
      </c>
      <c r="G54" s="284">
        <f t="shared" si="19"/>
        <v>0</v>
      </c>
      <c r="H54" s="284">
        <f t="shared" si="19"/>
        <v>0</v>
      </c>
      <c r="I54" s="284">
        <f t="shared" si="19"/>
        <v>0</v>
      </c>
      <c r="J54" s="284">
        <f t="shared" si="19"/>
        <v>0</v>
      </c>
      <c r="K54" s="284">
        <f t="shared" si="19"/>
        <v>0</v>
      </c>
      <c r="L54" s="284">
        <f t="shared" si="19"/>
        <v>0</v>
      </c>
      <c r="M54" s="3" t="s">
        <v>609</v>
      </c>
      <c r="N54" s="2" t="s">
        <v>587</v>
      </c>
    </row>
    <row r="55" spans="1:14">
      <c r="A55" s="2"/>
      <c r="B55" s="3" t="str">
        <f t="shared" si="17"/>
        <v>Line C</v>
      </c>
      <c r="C55" s="284">
        <f t="shared" ref="C55:L55" si="20">IF(C47&gt;=1,1,0)</f>
        <v>0</v>
      </c>
      <c r="D55" s="284">
        <f t="shared" si="20"/>
        <v>0</v>
      </c>
      <c r="E55" s="284">
        <f t="shared" si="20"/>
        <v>0</v>
      </c>
      <c r="F55" s="284">
        <f t="shared" si="20"/>
        <v>0</v>
      </c>
      <c r="G55" s="284">
        <f t="shared" si="20"/>
        <v>0</v>
      </c>
      <c r="H55" s="284">
        <f t="shared" si="20"/>
        <v>0</v>
      </c>
      <c r="I55" s="284">
        <f t="shared" si="20"/>
        <v>0</v>
      </c>
      <c r="J55" s="284">
        <f t="shared" si="20"/>
        <v>0</v>
      </c>
      <c r="K55" s="284">
        <f t="shared" si="20"/>
        <v>0</v>
      </c>
      <c r="L55" s="284">
        <f t="shared" si="20"/>
        <v>0</v>
      </c>
      <c r="M55" s="3" t="s">
        <v>609</v>
      </c>
      <c r="N55" s="2" t="s">
        <v>587</v>
      </c>
    </row>
    <row r="56" spans="1:14">
      <c r="A56" s="2"/>
      <c r="B56" s="3" t="str">
        <f t="shared" si="17"/>
        <v>Line D</v>
      </c>
      <c r="C56" s="284">
        <f t="shared" ref="C56:L56" si="21">IF(C48&gt;=1,1,0)</f>
        <v>0</v>
      </c>
      <c r="D56" s="284">
        <f t="shared" si="21"/>
        <v>0</v>
      </c>
      <c r="E56" s="284">
        <f t="shared" si="21"/>
        <v>0</v>
      </c>
      <c r="F56" s="284">
        <f t="shared" si="21"/>
        <v>0</v>
      </c>
      <c r="G56" s="284">
        <f t="shared" si="21"/>
        <v>0</v>
      </c>
      <c r="H56" s="284">
        <f t="shared" si="21"/>
        <v>0</v>
      </c>
      <c r="I56" s="284">
        <f t="shared" si="21"/>
        <v>0</v>
      </c>
      <c r="J56" s="284">
        <f t="shared" si="21"/>
        <v>0</v>
      </c>
      <c r="K56" s="284">
        <f t="shared" si="21"/>
        <v>0</v>
      </c>
      <c r="L56" s="284">
        <f t="shared" si="21"/>
        <v>0</v>
      </c>
      <c r="M56" s="3" t="s">
        <v>609</v>
      </c>
      <c r="N56" s="2" t="s">
        <v>587</v>
      </c>
    </row>
    <row r="57" spans="1:14">
      <c r="A57" s="273" t="s">
        <v>733</v>
      </c>
      <c r="B57" s="279" t="str">
        <f t="shared" si="17"/>
        <v>Line A</v>
      </c>
      <c r="C57" s="285">
        <f t="shared" ref="C57:L57" si="22">IF(C49&gt;=1,1,0)</f>
        <v>0</v>
      </c>
      <c r="D57" s="285">
        <f t="shared" si="22"/>
        <v>0</v>
      </c>
      <c r="E57" s="285">
        <f t="shared" si="22"/>
        <v>0</v>
      </c>
      <c r="F57" s="285">
        <f t="shared" si="22"/>
        <v>0</v>
      </c>
      <c r="G57" s="285">
        <f t="shared" si="22"/>
        <v>0</v>
      </c>
      <c r="H57" s="285">
        <f t="shared" si="22"/>
        <v>0</v>
      </c>
      <c r="I57" s="285">
        <f t="shared" si="22"/>
        <v>0</v>
      </c>
      <c r="J57" s="285">
        <f t="shared" si="22"/>
        <v>0</v>
      </c>
      <c r="K57" s="285">
        <f t="shared" si="22"/>
        <v>0</v>
      </c>
      <c r="L57" s="285">
        <f t="shared" si="22"/>
        <v>0</v>
      </c>
      <c r="M57" s="279" t="s">
        <v>609</v>
      </c>
      <c r="N57" s="2" t="s">
        <v>587</v>
      </c>
    </row>
    <row r="58" spans="1:14">
      <c r="A58" s="2"/>
      <c r="B58" s="279" t="str">
        <f t="shared" si="17"/>
        <v>Line B</v>
      </c>
      <c r="C58" s="285">
        <f t="shared" ref="C58:L58" si="23">IF(C50&gt;=1,1,0)</f>
        <v>0</v>
      </c>
      <c r="D58" s="285">
        <f t="shared" si="23"/>
        <v>0</v>
      </c>
      <c r="E58" s="285">
        <f t="shared" si="23"/>
        <v>0</v>
      </c>
      <c r="F58" s="285">
        <f t="shared" si="23"/>
        <v>0</v>
      </c>
      <c r="G58" s="285">
        <f t="shared" si="23"/>
        <v>0</v>
      </c>
      <c r="H58" s="285">
        <f t="shared" si="23"/>
        <v>0</v>
      </c>
      <c r="I58" s="285">
        <f t="shared" si="23"/>
        <v>0</v>
      </c>
      <c r="J58" s="285">
        <f t="shared" si="23"/>
        <v>0</v>
      </c>
      <c r="K58" s="285">
        <f t="shared" si="23"/>
        <v>0</v>
      </c>
      <c r="L58" s="285">
        <f t="shared" si="23"/>
        <v>0</v>
      </c>
      <c r="M58" s="279" t="s">
        <v>609</v>
      </c>
      <c r="N58" s="2" t="s">
        <v>587</v>
      </c>
    </row>
    <row r="59" spans="1:14">
      <c r="A59" s="2"/>
      <c r="B59" s="279" t="str">
        <f t="shared" si="17"/>
        <v>Line C</v>
      </c>
      <c r="C59" s="285">
        <f t="shared" ref="C59:L59" si="24">IF(C51&gt;=1,1,0)</f>
        <v>0</v>
      </c>
      <c r="D59" s="285">
        <f t="shared" si="24"/>
        <v>0</v>
      </c>
      <c r="E59" s="285">
        <f t="shared" si="24"/>
        <v>0</v>
      </c>
      <c r="F59" s="285">
        <f t="shared" si="24"/>
        <v>0</v>
      </c>
      <c r="G59" s="285">
        <f t="shared" si="24"/>
        <v>0</v>
      </c>
      <c r="H59" s="285">
        <f t="shared" si="24"/>
        <v>0</v>
      </c>
      <c r="I59" s="285">
        <f t="shared" si="24"/>
        <v>0</v>
      </c>
      <c r="J59" s="285">
        <f t="shared" si="24"/>
        <v>0</v>
      </c>
      <c r="K59" s="285">
        <f t="shared" si="24"/>
        <v>0</v>
      </c>
      <c r="L59" s="285">
        <f t="shared" si="24"/>
        <v>0</v>
      </c>
      <c r="M59" s="279" t="s">
        <v>609</v>
      </c>
      <c r="N59" s="2" t="s">
        <v>587</v>
      </c>
    </row>
    <row r="60" spans="1:14">
      <c r="A60" s="2"/>
      <c r="B60" s="279" t="str">
        <f t="shared" si="17"/>
        <v>Line D</v>
      </c>
      <c r="C60" s="285">
        <f t="shared" ref="C60:L60" si="25">IF(C52&gt;=1,1,0)</f>
        <v>0</v>
      </c>
      <c r="D60" s="285">
        <f t="shared" si="25"/>
        <v>0</v>
      </c>
      <c r="E60" s="285">
        <f t="shared" si="25"/>
        <v>0</v>
      </c>
      <c r="F60" s="285">
        <f t="shared" si="25"/>
        <v>0</v>
      </c>
      <c r="G60" s="285">
        <f t="shared" si="25"/>
        <v>0</v>
      </c>
      <c r="H60" s="285">
        <f t="shared" si="25"/>
        <v>0</v>
      </c>
      <c r="I60" s="285">
        <f t="shared" si="25"/>
        <v>0</v>
      </c>
      <c r="J60" s="285">
        <f t="shared" si="25"/>
        <v>0</v>
      </c>
      <c r="K60" s="285">
        <f t="shared" si="25"/>
        <v>0</v>
      </c>
      <c r="L60" s="285">
        <f t="shared" si="25"/>
        <v>0</v>
      </c>
      <c r="M60" s="279" t="s">
        <v>609</v>
      </c>
      <c r="N60" s="2" t="s">
        <v>587</v>
      </c>
    </row>
    <row r="61" spans="1:14">
      <c r="A61" s="2" t="s">
        <v>611</v>
      </c>
      <c r="B61" s="3" t="str">
        <f t="shared" ref="B61:L61" si="26">B45</f>
        <v>Line A</v>
      </c>
      <c r="C61" s="284">
        <f t="shared" si="26"/>
        <v>0</v>
      </c>
      <c r="D61" s="284">
        <f t="shared" si="26"/>
        <v>0</v>
      </c>
      <c r="E61" s="284">
        <f t="shared" si="26"/>
        <v>0</v>
      </c>
      <c r="F61" s="284">
        <f t="shared" si="26"/>
        <v>0</v>
      </c>
      <c r="G61" s="284">
        <f t="shared" si="26"/>
        <v>0</v>
      </c>
      <c r="H61" s="284">
        <f t="shared" si="26"/>
        <v>0</v>
      </c>
      <c r="I61" s="284">
        <f t="shared" si="26"/>
        <v>0</v>
      </c>
      <c r="J61" s="284">
        <f t="shared" si="26"/>
        <v>0</v>
      </c>
      <c r="K61" s="284">
        <f t="shared" si="26"/>
        <v>0</v>
      </c>
      <c r="L61" s="284">
        <f t="shared" si="26"/>
        <v>0</v>
      </c>
      <c r="M61" s="3" t="s">
        <v>609</v>
      </c>
      <c r="N61" s="2" t="s">
        <v>587</v>
      </c>
    </row>
    <row r="62" spans="1:14">
      <c r="A62" s="2"/>
      <c r="B62" s="3" t="str">
        <f t="shared" ref="B62:L62" si="27">B46</f>
        <v>Line B</v>
      </c>
      <c r="C62" s="284">
        <f t="shared" si="27"/>
        <v>0</v>
      </c>
      <c r="D62" s="284">
        <f t="shared" si="27"/>
        <v>0</v>
      </c>
      <c r="E62" s="284">
        <f t="shared" si="27"/>
        <v>0</v>
      </c>
      <c r="F62" s="284">
        <f t="shared" si="27"/>
        <v>0</v>
      </c>
      <c r="G62" s="284">
        <f t="shared" si="27"/>
        <v>0</v>
      </c>
      <c r="H62" s="284">
        <f t="shared" si="27"/>
        <v>0</v>
      </c>
      <c r="I62" s="284">
        <f t="shared" si="27"/>
        <v>0</v>
      </c>
      <c r="J62" s="284">
        <f t="shared" si="27"/>
        <v>0</v>
      </c>
      <c r="K62" s="284">
        <f t="shared" si="27"/>
        <v>0</v>
      </c>
      <c r="L62" s="284">
        <f t="shared" si="27"/>
        <v>0</v>
      </c>
      <c r="M62" s="3" t="s">
        <v>609</v>
      </c>
      <c r="N62" s="2" t="s">
        <v>587</v>
      </c>
    </row>
    <row r="63" spans="1:14">
      <c r="A63" s="2"/>
      <c r="B63" s="3" t="str">
        <f t="shared" ref="B63:L63" si="28">B47</f>
        <v>Line C</v>
      </c>
      <c r="C63" s="284">
        <f t="shared" si="28"/>
        <v>0</v>
      </c>
      <c r="D63" s="284">
        <f t="shared" si="28"/>
        <v>0</v>
      </c>
      <c r="E63" s="284">
        <f t="shared" si="28"/>
        <v>0</v>
      </c>
      <c r="F63" s="284">
        <f t="shared" si="28"/>
        <v>0</v>
      </c>
      <c r="G63" s="284">
        <f t="shared" si="28"/>
        <v>0</v>
      </c>
      <c r="H63" s="284">
        <f t="shared" si="28"/>
        <v>0</v>
      </c>
      <c r="I63" s="284">
        <f t="shared" si="28"/>
        <v>0</v>
      </c>
      <c r="J63" s="284">
        <f t="shared" si="28"/>
        <v>0</v>
      </c>
      <c r="K63" s="284">
        <f t="shared" si="28"/>
        <v>0</v>
      </c>
      <c r="L63" s="284">
        <f t="shared" si="28"/>
        <v>0</v>
      </c>
      <c r="M63" s="3" t="s">
        <v>609</v>
      </c>
      <c r="N63" s="2" t="s">
        <v>587</v>
      </c>
    </row>
    <row r="64" spans="1:14">
      <c r="A64" s="2"/>
      <c r="B64" s="3" t="str">
        <f t="shared" ref="B64:L64" si="29">B48</f>
        <v>Line D</v>
      </c>
      <c r="C64" s="284">
        <f t="shared" si="29"/>
        <v>0</v>
      </c>
      <c r="D64" s="284">
        <f t="shared" si="29"/>
        <v>0</v>
      </c>
      <c r="E64" s="284">
        <f t="shared" si="29"/>
        <v>0</v>
      </c>
      <c r="F64" s="284">
        <f t="shared" si="29"/>
        <v>0</v>
      </c>
      <c r="G64" s="284">
        <f t="shared" si="29"/>
        <v>0</v>
      </c>
      <c r="H64" s="284">
        <f t="shared" si="29"/>
        <v>0</v>
      </c>
      <c r="I64" s="284">
        <f t="shared" si="29"/>
        <v>0</v>
      </c>
      <c r="J64" s="284">
        <f t="shared" si="29"/>
        <v>0</v>
      </c>
      <c r="K64" s="284">
        <f t="shared" si="29"/>
        <v>0</v>
      </c>
      <c r="L64" s="284">
        <f t="shared" si="29"/>
        <v>0</v>
      </c>
      <c r="M64" s="3" t="s">
        <v>609</v>
      </c>
      <c r="N64" s="2" t="s">
        <v>587</v>
      </c>
    </row>
    <row r="65" spans="1:14">
      <c r="A65" s="273" t="s">
        <v>732</v>
      </c>
      <c r="B65" s="279" t="str">
        <f>B53</f>
        <v>Line A</v>
      </c>
      <c r="C65" s="285">
        <f t="shared" ref="C65:L65" si="30">C49</f>
        <v>0</v>
      </c>
      <c r="D65" s="285">
        <f t="shared" si="30"/>
        <v>0</v>
      </c>
      <c r="E65" s="285">
        <f t="shared" si="30"/>
        <v>0</v>
      </c>
      <c r="F65" s="285">
        <f t="shared" si="30"/>
        <v>0</v>
      </c>
      <c r="G65" s="285">
        <f t="shared" si="30"/>
        <v>0</v>
      </c>
      <c r="H65" s="285">
        <f t="shared" si="30"/>
        <v>0</v>
      </c>
      <c r="I65" s="285">
        <f t="shared" si="30"/>
        <v>0</v>
      </c>
      <c r="J65" s="285">
        <f t="shared" si="30"/>
        <v>0</v>
      </c>
      <c r="K65" s="285">
        <f t="shared" si="30"/>
        <v>0</v>
      </c>
      <c r="L65" s="285">
        <f t="shared" si="30"/>
        <v>0</v>
      </c>
      <c r="M65" s="279" t="s">
        <v>609</v>
      </c>
      <c r="N65" s="2" t="s">
        <v>587</v>
      </c>
    </row>
    <row r="66" spans="1:14">
      <c r="A66" s="2"/>
      <c r="B66" s="279" t="str">
        <f>B54</f>
        <v>Line B</v>
      </c>
      <c r="C66" s="285">
        <f t="shared" ref="C66:L66" si="31">C50</f>
        <v>0</v>
      </c>
      <c r="D66" s="285">
        <f t="shared" si="31"/>
        <v>0</v>
      </c>
      <c r="E66" s="285">
        <f t="shared" si="31"/>
        <v>0</v>
      </c>
      <c r="F66" s="285">
        <f t="shared" si="31"/>
        <v>0</v>
      </c>
      <c r="G66" s="285">
        <f t="shared" si="31"/>
        <v>0</v>
      </c>
      <c r="H66" s="285">
        <f t="shared" si="31"/>
        <v>0</v>
      </c>
      <c r="I66" s="285">
        <f t="shared" si="31"/>
        <v>0</v>
      </c>
      <c r="J66" s="285">
        <f t="shared" si="31"/>
        <v>0</v>
      </c>
      <c r="K66" s="285">
        <f t="shared" si="31"/>
        <v>0</v>
      </c>
      <c r="L66" s="285">
        <f t="shared" si="31"/>
        <v>0</v>
      </c>
      <c r="M66" s="279" t="s">
        <v>609</v>
      </c>
      <c r="N66" s="2" t="s">
        <v>587</v>
      </c>
    </row>
    <row r="67" spans="1:14">
      <c r="A67" s="2"/>
      <c r="B67" s="279" t="str">
        <f>B55</f>
        <v>Line C</v>
      </c>
      <c r="C67" s="285">
        <f t="shared" ref="C67:L67" si="32">C51</f>
        <v>0</v>
      </c>
      <c r="D67" s="285">
        <f t="shared" si="32"/>
        <v>0</v>
      </c>
      <c r="E67" s="285">
        <f t="shared" si="32"/>
        <v>0</v>
      </c>
      <c r="F67" s="285">
        <f t="shared" si="32"/>
        <v>0</v>
      </c>
      <c r="G67" s="285">
        <f t="shared" si="32"/>
        <v>0</v>
      </c>
      <c r="H67" s="285">
        <f t="shared" si="32"/>
        <v>0</v>
      </c>
      <c r="I67" s="285">
        <f t="shared" si="32"/>
        <v>0</v>
      </c>
      <c r="J67" s="285">
        <f t="shared" si="32"/>
        <v>0</v>
      </c>
      <c r="K67" s="285">
        <f t="shared" si="32"/>
        <v>0</v>
      </c>
      <c r="L67" s="285">
        <f t="shared" si="32"/>
        <v>0</v>
      </c>
      <c r="M67" s="279" t="s">
        <v>609</v>
      </c>
      <c r="N67" s="2" t="s">
        <v>587</v>
      </c>
    </row>
    <row r="68" spans="1:14">
      <c r="A68" s="2"/>
      <c r="B68" s="279" t="str">
        <f>B56</f>
        <v>Line D</v>
      </c>
      <c r="C68" s="285">
        <f t="shared" ref="C68:L68" si="33">C52</f>
        <v>0</v>
      </c>
      <c r="D68" s="285">
        <f t="shared" si="33"/>
        <v>0</v>
      </c>
      <c r="E68" s="285">
        <f t="shared" si="33"/>
        <v>0</v>
      </c>
      <c r="F68" s="285">
        <f t="shared" si="33"/>
        <v>0</v>
      </c>
      <c r="G68" s="285">
        <f t="shared" si="33"/>
        <v>0</v>
      </c>
      <c r="H68" s="285">
        <f t="shared" si="33"/>
        <v>0</v>
      </c>
      <c r="I68" s="285">
        <f t="shared" si="33"/>
        <v>0</v>
      </c>
      <c r="J68" s="285">
        <f t="shared" si="33"/>
        <v>0</v>
      </c>
      <c r="K68" s="285">
        <f t="shared" si="33"/>
        <v>0</v>
      </c>
      <c r="L68" s="285">
        <f t="shared" si="33"/>
        <v>0</v>
      </c>
      <c r="M68" s="279" t="s">
        <v>609</v>
      </c>
      <c r="N68" s="2" t="s">
        <v>587</v>
      </c>
    </row>
    <row r="69" spans="1:14">
      <c r="A69" s="305" t="s">
        <v>614</v>
      </c>
      <c r="B69" s="306"/>
      <c r="C69" s="275">
        <f t="shared" ref="C69:L69" si="34">(SUM(C53:C56)+SUM(C61:C64))*20</f>
        <v>0</v>
      </c>
      <c r="D69" s="275">
        <f t="shared" si="34"/>
        <v>0</v>
      </c>
      <c r="E69" s="275">
        <f t="shared" si="34"/>
        <v>0</v>
      </c>
      <c r="F69" s="275">
        <f t="shared" si="34"/>
        <v>0</v>
      </c>
      <c r="G69" s="275">
        <f t="shared" si="34"/>
        <v>0</v>
      </c>
      <c r="H69" s="275">
        <f t="shared" si="34"/>
        <v>0</v>
      </c>
      <c r="I69" s="275">
        <f t="shared" si="34"/>
        <v>0</v>
      </c>
      <c r="J69" s="275">
        <f t="shared" si="34"/>
        <v>0</v>
      </c>
      <c r="K69" s="275">
        <f t="shared" si="34"/>
        <v>0</v>
      </c>
      <c r="L69" s="275">
        <f t="shared" si="34"/>
        <v>0</v>
      </c>
      <c r="M69" s="1" t="s">
        <v>574</v>
      </c>
      <c r="N69" s="2" t="s">
        <v>587</v>
      </c>
    </row>
    <row r="70" spans="1:14">
      <c r="A70" s="2" t="s">
        <v>612</v>
      </c>
      <c r="B70" s="238" t="s">
        <v>616</v>
      </c>
      <c r="C70" s="264">
        <f t="shared" ref="C70:L70" si="35">SUM(C74:C82)*10%</f>
        <v>0</v>
      </c>
      <c r="D70" s="264">
        <f t="shared" si="35"/>
        <v>0</v>
      </c>
      <c r="E70" s="264">
        <f t="shared" si="35"/>
        <v>0</v>
      </c>
      <c r="F70" s="264">
        <f t="shared" si="35"/>
        <v>0</v>
      </c>
      <c r="G70" s="264">
        <f t="shared" si="35"/>
        <v>0</v>
      </c>
      <c r="H70" s="264">
        <f t="shared" si="35"/>
        <v>0</v>
      </c>
      <c r="I70" s="264">
        <f t="shared" si="35"/>
        <v>0</v>
      </c>
      <c r="J70" s="264">
        <f t="shared" si="35"/>
        <v>0</v>
      </c>
      <c r="K70" s="264">
        <f t="shared" si="35"/>
        <v>0</v>
      </c>
      <c r="L70" s="264">
        <f t="shared" si="35"/>
        <v>0</v>
      </c>
      <c r="M70" s="238" t="s">
        <v>148</v>
      </c>
      <c r="N70" s="2" t="s">
        <v>587</v>
      </c>
    </row>
    <row r="71" spans="1:14">
      <c r="A71" s="2"/>
      <c r="B71" s="286" t="s">
        <v>736</v>
      </c>
      <c r="C71" s="264">
        <f t="shared" ref="C71:L71" si="36">SUM(C38:C42)</f>
        <v>0</v>
      </c>
      <c r="D71" s="264">
        <f t="shared" si="36"/>
        <v>0</v>
      </c>
      <c r="E71" s="264">
        <f t="shared" si="36"/>
        <v>0</v>
      </c>
      <c r="F71" s="264">
        <f t="shared" si="36"/>
        <v>0</v>
      </c>
      <c r="G71" s="264">
        <f t="shared" si="36"/>
        <v>0</v>
      </c>
      <c r="H71" s="264">
        <f t="shared" si="36"/>
        <v>0</v>
      </c>
      <c r="I71" s="264">
        <f t="shared" si="36"/>
        <v>0</v>
      </c>
      <c r="J71" s="264">
        <f t="shared" si="36"/>
        <v>0</v>
      </c>
      <c r="K71" s="264">
        <f t="shared" si="36"/>
        <v>0</v>
      </c>
      <c r="L71" s="264">
        <f t="shared" si="36"/>
        <v>0</v>
      </c>
      <c r="M71" s="238" t="s">
        <v>148</v>
      </c>
      <c r="N71" s="2" t="s">
        <v>587</v>
      </c>
    </row>
    <row r="72" spans="1:14">
      <c r="A72" s="2"/>
      <c r="B72" s="286" t="s">
        <v>734</v>
      </c>
      <c r="C72" s="264">
        <f t="shared" ref="C72:L72" si="37">SUM(C45:C52)</f>
        <v>0</v>
      </c>
      <c r="D72" s="264">
        <f t="shared" si="37"/>
        <v>0</v>
      </c>
      <c r="E72" s="264">
        <f t="shared" si="37"/>
        <v>0</v>
      </c>
      <c r="F72" s="264">
        <f t="shared" si="37"/>
        <v>0</v>
      </c>
      <c r="G72" s="264">
        <f t="shared" si="37"/>
        <v>0</v>
      </c>
      <c r="H72" s="264">
        <f t="shared" si="37"/>
        <v>0</v>
      </c>
      <c r="I72" s="264">
        <f t="shared" si="37"/>
        <v>0</v>
      </c>
      <c r="J72" s="264">
        <f t="shared" si="37"/>
        <v>0</v>
      </c>
      <c r="K72" s="264">
        <f t="shared" si="37"/>
        <v>0</v>
      </c>
      <c r="L72" s="264">
        <f t="shared" si="37"/>
        <v>0</v>
      </c>
      <c r="M72" s="238" t="s">
        <v>148</v>
      </c>
      <c r="N72" s="2" t="s">
        <v>587</v>
      </c>
    </row>
    <row r="73" spans="1:14">
      <c r="A73" s="2"/>
      <c r="B73" s="238" t="s">
        <v>169</v>
      </c>
      <c r="C73" s="264">
        <f t="shared" ref="C73:L73" si="38">SUM(C74:C79)</f>
        <v>0</v>
      </c>
      <c r="D73" s="264">
        <f t="shared" si="38"/>
        <v>0</v>
      </c>
      <c r="E73" s="264">
        <f t="shared" si="38"/>
        <v>0</v>
      </c>
      <c r="F73" s="264">
        <f t="shared" si="38"/>
        <v>0</v>
      </c>
      <c r="G73" s="264">
        <f t="shared" si="38"/>
        <v>0</v>
      </c>
      <c r="H73" s="264">
        <f t="shared" si="38"/>
        <v>0</v>
      </c>
      <c r="I73" s="264">
        <f t="shared" si="38"/>
        <v>0</v>
      </c>
      <c r="J73" s="264">
        <f t="shared" si="38"/>
        <v>0</v>
      </c>
      <c r="K73" s="264">
        <f t="shared" si="38"/>
        <v>0</v>
      </c>
      <c r="L73" s="264">
        <f t="shared" si="38"/>
        <v>0</v>
      </c>
      <c r="M73" s="238" t="s">
        <v>148</v>
      </c>
      <c r="N73" s="2" t="s">
        <v>587</v>
      </c>
    </row>
    <row r="74" spans="1:14">
      <c r="A74" s="2" t="s">
        <v>610</v>
      </c>
      <c r="B74" s="4" t="s">
        <v>618</v>
      </c>
      <c r="C74" s="239"/>
      <c r="D74" s="239"/>
      <c r="E74" s="239"/>
      <c r="F74" s="239"/>
      <c r="G74" s="239"/>
      <c r="H74" s="239"/>
      <c r="I74" s="239"/>
      <c r="J74" s="239"/>
      <c r="K74" s="239"/>
      <c r="L74" s="239"/>
      <c r="M74" s="4" t="s">
        <v>92</v>
      </c>
      <c r="N74" s="2" t="s">
        <v>575</v>
      </c>
    </row>
    <row r="75" spans="1:14">
      <c r="A75" s="2"/>
      <c r="B75" s="3" t="s">
        <v>652</v>
      </c>
      <c r="C75" s="259">
        <v>0</v>
      </c>
      <c r="D75" s="259">
        <v>0</v>
      </c>
      <c r="E75" s="259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3" t="s">
        <v>92</v>
      </c>
      <c r="N75" s="2" t="s">
        <v>575</v>
      </c>
    </row>
    <row r="76" spans="1:14">
      <c r="A76" s="2"/>
      <c r="B76" s="278" t="s">
        <v>737</v>
      </c>
      <c r="C76" s="259">
        <v>0</v>
      </c>
      <c r="D76" s="259">
        <v>0</v>
      </c>
      <c r="E76" s="259">
        <v>0</v>
      </c>
      <c r="F76" s="259">
        <v>0</v>
      </c>
      <c r="G76" s="259">
        <v>0</v>
      </c>
      <c r="H76" s="259">
        <v>0</v>
      </c>
      <c r="I76" s="259">
        <v>0</v>
      </c>
      <c r="J76" s="259">
        <v>0</v>
      </c>
      <c r="K76" s="259">
        <v>0</v>
      </c>
      <c r="L76" s="259">
        <v>0</v>
      </c>
      <c r="M76" s="3" t="s">
        <v>92</v>
      </c>
      <c r="N76" s="2" t="s">
        <v>575</v>
      </c>
    </row>
    <row r="77" spans="1:14">
      <c r="A77" s="2"/>
      <c r="B77" s="278" t="s">
        <v>738</v>
      </c>
      <c r="C77" s="259">
        <v>0</v>
      </c>
      <c r="D77" s="259">
        <v>0</v>
      </c>
      <c r="E77" s="259">
        <v>0</v>
      </c>
      <c r="F77" s="259">
        <v>0</v>
      </c>
      <c r="G77" s="259">
        <v>0</v>
      </c>
      <c r="H77" s="259">
        <v>0</v>
      </c>
      <c r="I77" s="259">
        <v>0</v>
      </c>
      <c r="J77" s="259">
        <v>0</v>
      </c>
      <c r="K77" s="259">
        <v>0</v>
      </c>
      <c r="L77" s="259">
        <v>0</v>
      </c>
      <c r="M77" s="3" t="s">
        <v>92</v>
      </c>
      <c r="N77" s="2"/>
    </row>
    <row r="78" spans="1:14">
      <c r="A78" s="2"/>
      <c r="B78" s="4" t="s">
        <v>619</v>
      </c>
      <c r="C78" s="239"/>
      <c r="D78" s="239"/>
      <c r="E78" s="239"/>
      <c r="F78" s="239"/>
      <c r="G78" s="239"/>
      <c r="H78" s="239"/>
      <c r="I78" s="239"/>
      <c r="J78" s="239"/>
      <c r="K78" s="239"/>
      <c r="L78" s="239"/>
      <c r="M78" s="4" t="s">
        <v>92</v>
      </c>
      <c r="N78" s="2" t="s">
        <v>575</v>
      </c>
    </row>
    <row r="79" spans="1:14">
      <c r="A79" s="2"/>
      <c r="B79" s="3" t="s">
        <v>621</v>
      </c>
      <c r="C79" s="259">
        <v>0</v>
      </c>
      <c r="D79" s="259">
        <v>0</v>
      </c>
      <c r="E79" s="259">
        <v>0</v>
      </c>
      <c r="F79" s="259">
        <v>0</v>
      </c>
      <c r="G79" s="259">
        <v>0</v>
      </c>
      <c r="H79" s="259">
        <v>0</v>
      </c>
      <c r="I79" s="259">
        <v>0</v>
      </c>
      <c r="J79" s="259">
        <v>0</v>
      </c>
      <c r="K79" s="259">
        <v>0</v>
      </c>
      <c r="L79" s="259">
        <v>0</v>
      </c>
      <c r="M79" s="3" t="s">
        <v>92</v>
      </c>
      <c r="N79" s="2" t="s">
        <v>575</v>
      </c>
    </row>
    <row r="80" spans="1:14">
      <c r="A80" s="2"/>
      <c r="B80" s="1" t="s">
        <v>613</v>
      </c>
      <c r="C80" s="263">
        <v>0</v>
      </c>
      <c r="D80" s="263">
        <v>0</v>
      </c>
      <c r="E80" s="263">
        <v>0</v>
      </c>
      <c r="F80" s="263">
        <v>0</v>
      </c>
      <c r="G80" s="263">
        <v>0</v>
      </c>
      <c r="H80" s="263">
        <v>0</v>
      </c>
      <c r="I80" s="263">
        <v>0</v>
      </c>
      <c r="J80" s="263">
        <v>0</v>
      </c>
      <c r="K80" s="263">
        <v>0</v>
      </c>
      <c r="L80" s="263">
        <v>0</v>
      </c>
      <c r="M80" s="1" t="s">
        <v>92</v>
      </c>
      <c r="N80" s="2" t="s">
        <v>575</v>
      </c>
    </row>
    <row r="81" spans="1:14">
      <c r="A81" s="2"/>
      <c r="B81" s="265" t="s">
        <v>615</v>
      </c>
      <c r="C81" s="266">
        <v>0</v>
      </c>
      <c r="D81" s="266">
        <v>0</v>
      </c>
      <c r="E81" s="266">
        <v>0</v>
      </c>
      <c r="F81" s="266">
        <v>0</v>
      </c>
      <c r="G81" s="266">
        <v>0</v>
      </c>
      <c r="H81" s="266">
        <v>0</v>
      </c>
      <c r="I81" s="266">
        <v>0</v>
      </c>
      <c r="J81" s="266">
        <v>0</v>
      </c>
      <c r="K81" s="266">
        <v>0</v>
      </c>
      <c r="L81" s="266">
        <v>0</v>
      </c>
      <c r="M81" s="265" t="s">
        <v>92</v>
      </c>
      <c r="N81" s="2" t="s">
        <v>575</v>
      </c>
    </row>
    <row r="82" spans="1:14">
      <c r="A82" s="2"/>
      <c r="B82" s="267" t="s">
        <v>617</v>
      </c>
      <c r="C82" s="268">
        <v>0</v>
      </c>
      <c r="D82" s="268">
        <v>0</v>
      </c>
      <c r="E82" s="268">
        <v>0</v>
      </c>
      <c r="F82" s="268">
        <v>0</v>
      </c>
      <c r="G82" s="268">
        <v>0</v>
      </c>
      <c r="H82" s="268">
        <v>0</v>
      </c>
      <c r="I82" s="268">
        <v>0</v>
      </c>
      <c r="J82" s="268">
        <v>0</v>
      </c>
      <c r="K82" s="268">
        <v>0</v>
      </c>
      <c r="L82" s="268">
        <v>0</v>
      </c>
      <c r="M82" s="267" t="s">
        <v>92</v>
      </c>
      <c r="N82" s="2" t="s">
        <v>575</v>
      </c>
    </row>
    <row r="83" spans="1:14">
      <c r="A83" s="2" t="s">
        <v>593</v>
      </c>
      <c r="B83" s="2" t="s">
        <v>409</v>
      </c>
      <c r="C83" s="261">
        <f>MAX(C49:C52)+MAX(C53:C56)+SUM(C61:C68)</f>
        <v>0</v>
      </c>
      <c r="D83" s="261">
        <f t="shared" ref="D83:L83" si="39">MAX(D49:D52)+MAX(D53:D56)+SUM(D61:D68)</f>
        <v>0</v>
      </c>
      <c r="E83" s="261">
        <f t="shared" si="39"/>
        <v>0</v>
      </c>
      <c r="F83" s="261">
        <f t="shared" si="39"/>
        <v>0</v>
      </c>
      <c r="G83" s="261">
        <f t="shared" si="39"/>
        <v>0</v>
      </c>
      <c r="H83" s="261">
        <f t="shared" si="39"/>
        <v>0</v>
      </c>
      <c r="I83" s="261">
        <f t="shared" si="39"/>
        <v>0</v>
      </c>
      <c r="J83" s="261">
        <f t="shared" si="39"/>
        <v>0</v>
      </c>
      <c r="K83" s="261">
        <f t="shared" si="39"/>
        <v>0</v>
      </c>
      <c r="L83" s="261">
        <f t="shared" si="39"/>
        <v>0</v>
      </c>
      <c r="M83" s="2" t="s">
        <v>148</v>
      </c>
      <c r="N83" s="2" t="s">
        <v>587</v>
      </c>
    </row>
    <row r="84" spans="1:14">
      <c r="A84" s="2"/>
      <c r="B84" s="2" t="s">
        <v>414</v>
      </c>
      <c r="C84" s="261">
        <f t="shared" ref="C84:L84" si="40">(SUM(C45:C52)+SUM(C38:C41))*4</f>
        <v>0</v>
      </c>
      <c r="D84" s="261">
        <f t="shared" si="40"/>
        <v>0</v>
      </c>
      <c r="E84" s="261">
        <f t="shared" si="40"/>
        <v>0</v>
      </c>
      <c r="F84" s="261">
        <f t="shared" si="40"/>
        <v>0</v>
      </c>
      <c r="G84" s="261">
        <f t="shared" si="40"/>
        <v>0</v>
      </c>
      <c r="H84" s="261">
        <f t="shared" si="40"/>
        <v>0</v>
      </c>
      <c r="I84" s="261">
        <f t="shared" si="40"/>
        <v>0</v>
      </c>
      <c r="J84" s="261">
        <f t="shared" si="40"/>
        <v>0</v>
      </c>
      <c r="K84" s="261">
        <f t="shared" si="40"/>
        <v>0</v>
      </c>
      <c r="L84" s="261">
        <f t="shared" si="40"/>
        <v>0</v>
      </c>
      <c r="M84" s="2" t="s">
        <v>148</v>
      </c>
      <c r="N84" s="2" t="s">
        <v>587</v>
      </c>
    </row>
    <row r="85" spans="1:14">
      <c r="A85" s="2"/>
      <c r="B85" s="2" t="s">
        <v>416</v>
      </c>
      <c r="C85" s="261">
        <f t="shared" ref="C85:L85" si="41">SUM(C74,C75,C76,C78,C79,C80,C81,C82)*20%</f>
        <v>0</v>
      </c>
      <c r="D85" s="261">
        <f t="shared" si="41"/>
        <v>0</v>
      </c>
      <c r="E85" s="261">
        <f t="shared" si="41"/>
        <v>0</v>
      </c>
      <c r="F85" s="261">
        <f t="shared" si="41"/>
        <v>0</v>
      </c>
      <c r="G85" s="261">
        <f t="shared" si="41"/>
        <v>0</v>
      </c>
      <c r="H85" s="261">
        <f t="shared" si="41"/>
        <v>0</v>
      </c>
      <c r="I85" s="261">
        <f t="shared" si="41"/>
        <v>0</v>
      </c>
      <c r="J85" s="261">
        <f t="shared" si="41"/>
        <v>0</v>
      </c>
      <c r="K85" s="261">
        <f t="shared" si="41"/>
        <v>0</v>
      </c>
      <c r="L85" s="261">
        <f t="shared" si="41"/>
        <v>0</v>
      </c>
      <c r="M85" s="2" t="s">
        <v>148</v>
      </c>
      <c r="N85" s="2" t="s">
        <v>587</v>
      </c>
    </row>
    <row r="86" spans="1:14">
      <c r="A86" s="2"/>
      <c r="B86" s="2" t="s">
        <v>598</v>
      </c>
      <c r="C86" s="261">
        <f t="shared" ref="C86:L86" si="42">(C37/40)*6</f>
        <v>0</v>
      </c>
      <c r="D86" s="261">
        <f t="shared" si="42"/>
        <v>0</v>
      </c>
      <c r="E86" s="261">
        <f t="shared" si="42"/>
        <v>0</v>
      </c>
      <c r="F86" s="261">
        <f t="shared" si="42"/>
        <v>0</v>
      </c>
      <c r="G86" s="261">
        <f t="shared" si="42"/>
        <v>0</v>
      </c>
      <c r="H86" s="261">
        <f t="shared" si="42"/>
        <v>0</v>
      </c>
      <c r="I86" s="261">
        <f t="shared" si="42"/>
        <v>0</v>
      </c>
      <c r="J86" s="261">
        <f t="shared" si="42"/>
        <v>0</v>
      </c>
      <c r="K86" s="261">
        <f t="shared" si="42"/>
        <v>0</v>
      </c>
      <c r="L86" s="261">
        <f t="shared" si="42"/>
        <v>0</v>
      </c>
      <c r="M86" s="2" t="s">
        <v>148</v>
      </c>
      <c r="N86" s="2" t="s">
        <v>587</v>
      </c>
    </row>
    <row r="87" spans="1:14">
      <c r="A87" s="2"/>
      <c r="B87" s="273" t="s">
        <v>735</v>
      </c>
      <c r="C87" s="261">
        <f t="shared" ref="C87:L87" si="43">C90*2</f>
        <v>0</v>
      </c>
      <c r="D87" s="261">
        <f t="shared" si="43"/>
        <v>0</v>
      </c>
      <c r="E87" s="261">
        <f t="shared" si="43"/>
        <v>0</v>
      </c>
      <c r="F87" s="261">
        <f t="shared" si="43"/>
        <v>0</v>
      </c>
      <c r="G87" s="261">
        <f t="shared" si="43"/>
        <v>0</v>
      </c>
      <c r="H87" s="261">
        <f t="shared" si="43"/>
        <v>0</v>
      </c>
      <c r="I87" s="261">
        <f t="shared" si="43"/>
        <v>0</v>
      </c>
      <c r="J87" s="261">
        <f t="shared" si="43"/>
        <v>0</v>
      </c>
      <c r="K87" s="261">
        <f t="shared" si="43"/>
        <v>0</v>
      </c>
      <c r="L87" s="261">
        <f t="shared" si="43"/>
        <v>0</v>
      </c>
      <c r="M87" s="2" t="s">
        <v>148</v>
      </c>
      <c r="N87" s="2" t="s">
        <v>587</v>
      </c>
    </row>
    <row r="88" spans="1:14">
      <c r="A88" s="2"/>
      <c r="B88" s="2" t="s">
        <v>602</v>
      </c>
      <c r="C88" s="261">
        <f t="shared" ref="C88:L88" si="44">SUM(C74:C79)</f>
        <v>0</v>
      </c>
      <c r="D88" s="261">
        <f t="shared" si="44"/>
        <v>0</v>
      </c>
      <c r="E88" s="261">
        <f t="shared" si="44"/>
        <v>0</v>
      </c>
      <c r="F88" s="261">
        <f t="shared" si="44"/>
        <v>0</v>
      </c>
      <c r="G88" s="261">
        <f t="shared" si="44"/>
        <v>0</v>
      </c>
      <c r="H88" s="261">
        <f t="shared" si="44"/>
        <v>0</v>
      </c>
      <c r="I88" s="261">
        <f t="shared" si="44"/>
        <v>0</v>
      </c>
      <c r="J88" s="261">
        <f t="shared" si="44"/>
        <v>0</v>
      </c>
      <c r="K88" s="261">
        <f t="shared" si="44"/>
        <v>0</v>
      </c>
      <c r="L88" s="261">
        <f t="shared" si="44"/>
        <v>0</v>
      </c>
      <c r="M88" s="2" t="s">
        <v>148</v>
      </c>
      <c r="N88" s="2" t="s">
        <v>587</v>
      </c>
    </row>
    <row r="89" spans="1:14">
      <c r="A89" s="2"/>
      <c r="B89" s="2" t="s">
        <v>422</v>
      </c>
      <c r="C89" s="261">
        <v>0</v>
      </c>
      <c r="D89" s="261">
        <v>0</v>
      </c>
      <c r="E89" s="261">
        <v>0</v>
      </c>
      <c r="F89" s="261">
        <v>0</v>
      </c>
      <c r="G89" s="261">
        <v>0</v>
      </c>
      <c r="H89" s="261">
        <v>0</v>
      </c>
      <c r="I89" s="261">
        <v>0</v>
      </c>
      <c r="J89" s="261">
        <v>0</v>
      </c>
      <c r="K89" s="261">
        <v>0</v>
      </c>
      <c r="L89" s="261">
        <v>0</v>
      </c>
      <c r="M89" s="2" t="s">
        <v>148</v>
      </c>
      <c r="N89" s="2" t="s">
        <v>628</v>
      </c>
    </row>
    <row r="90" spans="1:14">
      <c r="A90" s="2"/>
      <c r="B90" s="2" t="s">
        <v>605</v>
      </c>
      <c r="C90" s="261">
        <f t="shared" ref="C90:L90" si="45">SUM(C74:C82)-C85</f>
        <v>0</v>
      </c>
      <c r="D90" s="261">
        <f t="shared" si="45"/>
        <v>0</v>
      </c>
      <c r="E90" s="261">
        <f t="shared" si="45"/>
        <v>0</v>
      </c>
      <c r="F90" s="261">
        <f t="shared" si="45"/>
        <v>0</v>
      </c>
      <c r="G90" s="261">
        <f t="shared" si="45"/>
        <v>0</v>
      </c>
      <c r="H90" s="261">
        <f t="shared" si="45"/>
        <v>0</v>
      </c>
      <c r="I90" s="261">
        <f t="shared" si="45"/>
        <v>0</v>
      </c>
      <c r="J90" s="261">
        <f t="shared" si="45"/>
        <v>0</v>
      </c>
      <c r="K90" s="261">
        <f t="shared" si="45"/>
        <v>0</v>
      </c>
      <c r="L90" s="261">
        <f t="shared" si="45"/>
        <v>0</v>
      </c>
      <c r="M90" s="2" t="s">
        <v>148</v>
      </c>
      <c r="N90" s="2" t="s">
        <v>587</v>
      </c>
    </row>
    <row r="91" spans="1:14">
      <c r="A91" s="2"/>
      <c r="B91" s="2" t="s">
        <v>607</v>
      </c>
      <c r="C91" s="261">
        <f t="shared" ref="C91:L91" si="46">C85</f>
        <v>0</v>
      </c>
      <c r="D91" s="261">
        <f t="shared" si="46"/>
        <v>0</v>
      </c>
      <c r="E91" s="261">
        <f t="shared" si="46"/>
        <v>0</v>
      </c>
      <c r="F91" s="261">
        <f t="shared" si="46"/>
        <v>0</v>
      </c>
      <c r="G91" s="261">
        <f t="shared" si="46"/>
        <v>0</v>
      </c>
      <c r="H91" s="261">
        <f t="shared" si="46"/>
        <v>0</v>
      </c>
      <c r="I91" s="261">
        <f t="shared" si="46"/>
        <v>0</v>
      </c>
      <c r="J91" s="261">
        <f t="shared" si="46"/>
        <v>0</v>
      </c>
      <c r="K91" s="261">
        <f t="shared" si="46"/>
        <v>0</v>
      </c>
      <c r="L91" s="261">
        <f t="shared" si="46"/>
        <v>0</v>
      </c>
      <c r="M91" s="2" t="s">
        <v>148</v>
      </c>
      <c r="N91" s="2" t="s">
        <v>587</v>
      </c>
    </row>
    <row r="92" spans="1:14">
      <c r="A92" s="2"/>
      <c r="B92" s="3" t="s">
        <v>437</v>
      </c>
      <c r="C92" s="259">
        <v>0</v>
      </c>
      <c r="D92" s="259">
        <v>0</v>
      </c>
      <c r="E92" s="259">
        <v>0</v>
      </c>
      <c r="F92" s="259">
        <v>0</v>
      </c>
      <c r="G92" s="259">
        <v>0</v>
      </c>
      <c r="H92" s="259">
        <v>0</v>
      </c>
      <c r="I92" s="259">
        <v>0</v>
      </c>
      <c r="J92" s="259">
        <v>0</v>
      </c>
      <c r="K92" s="259">
        <v>0</v>
      </c>
      <c r="L92" s="259">
        <v>0</v>
      </c>
      <c r="M92" s="3" t="s">
        <v>148</v>
      </c>
      <c r="N92" s="2" t="s">
        <v>575</v>
      </c>
    </row>
    <row r="93" spans="1:14">
      <c r="A93" s="2"/>
      <c r="B93" s="3" t="s">
        <v>439</v>
      </c>
      <c r="C93" s="259">
        <v>0</v>
      </c>
      <c r="D93" s="259">
        <v>0</v>
      </c>
      <c r="E93" s="259">
        <v>0</v>
      </c>
      <c r="F93" s="259">
        <v>0</v>
      </c>
      <c r="G93" s="259">
        <v>0</v>
      </c>
      <c r="H93" s="259">
        <v>0</v>
      </c>
      <c r="I93" s="259">
        <v>0</v>
      </c>
      <c r="J93" s="259">
        <v>0</v>
      </c>
      <c r="K93" s="259">
        <v>0</v>
      </c>
      <c r="L93" s="259">
        <v>0</v>
      </c>
      <c r="M93" s="3" t="s">
        <v>148</v>
      </c>
      <c r="N93" s="2" t="s">
        <v>575</v>
      </c>
    </row>
    <row r="94" spans="1:14">
      <c r="A94" s="2" t="s">
        <v>154</v>
      </c>
      <c r="B94" s="2" t="s">
        <v>629</v>
      </c>
      <c r="C94" s="261">
        <f t="shared" ref="C94:L94" si="47">C95</f>
        <v>0</v>
      </c>
      <c r="D94" s="261">
        <f t="shared" si="47"/>
        <v>0</v>
      </c>
      <c r="E94" s="261">
        <f t="shared" si="47"/>
        <v>0</v>
      </c>
      <c r="F94" s="261">
        <f t="shared" si="47"/>
        <v>0</v>
      </c>
      <c r="G94" s="261">
        <f t="shared" si="47"/>
        <v>0</v>
      </c>
      <c r="H94" s="261">
        <f t="shared" si="47"/>
        <v>0</v>
      </c>
      <c r="I94" s="261">
        <f t="shared" si="47"/>
        <v>0</v>
      </c>
      <c r="J94" s="261">
        <f t="shared" si="47"/>
        <v>0</v>
      </c>
      <c r="K94" s="261">
        <f t="shared" si="47"/>
        <v>0</v>
      </c>
      <c r="L94" s="261">
        <f t="shared" si="47"/>
        <v>0</v>
      </c>
      <c r="M94" s="2" t="s">
        <v>155</v>
      </c>
      <c r="N94" s="2" t="s">
        <v>587</v>
      </c>
    </row>
    <row r="95" spans="1:14">
      <c r="A95" s="2"/>
      <c r="B95" s="2" t="s">
        <v>630</v>
      </c>
      <c r="C95" s="261">
        <f t="shared" ref="C95:L95" si="48">SUM(C45:C48)</f>
        <v>0</v>
      </c>
      <c r="D95" s="261">
        <f t="shared" si="48"/>
        <v>0</v>
      </c>
      <c r="E95" s="261">
        <f t="shared" si="48"/>
        <v>0</v>
      </c>
      <c r="F95" s="261">
        <f t="shared" si="48"/>
        <v>0</v>
      </c>
      <c r="G95" s="261">
        <f t="shared" si="48"/>
        <v>0</v>
      </c>
      <c r="H95" s="261">
        <f t="shared" si="48"/>
        <v>0</v>
      </c>
      <c r="I95" s="261">
        <f t="shared" si="48"/>
        <v>0</v>
      </c>
      <c r="J95" s="261">
        <f t="shared" si="48"/>
        <v>0</v>
      </c>
      <c r="K95" s="261">
        <f t="shared" si="48"/>
        <v>0</v>
      </c>
      <c r="L95" s="261">
        <f t="shared" si="48"/>
        <v>0</v>
      </c>
      <c r="M95" s="2" t="s">
        <v>155</v>
      </c>
      <c r="N95" s="2" t="s">
        <v>587</v>
      </c>
    </row>
    <row r="96" spans="1:1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2" t="s">
        <v>631</v>
      </c>
      <c r="B97" s="2" t="s">
        <v>600</v>
      </c>
      <c r="C97" s="261">
        <f t="shared" ref="C97:L97" si="49">C44</f>
        <v>0</v>
      </c>
      <c r="D97" s="261">
        <f t="shared" si="49"/>
        <v>0</v>
      </c>
      <c r="E97" s="261">
        <f t="shared" si="49"/>
        <v>0</v>
      </c>
      <c r="F97" s="261">
        <f t="shared" si="49"/>
        <v>0</v>
      </c>
      <c r="G97" s="261">
        <f t="shared" si="49"/>
        <v>0</v>
      </c>
      <c r="H97" s="261">
        <f t="shared" si="49"/>
        <v>0</v>
      </c>
      <c r="I97" s="261">
        <f t="shared" si="49"/>
        <v>0</v>
      </c>
      <c r="J97" s="261">
        <f t="shared" si="49"/>
        <v>0</v>
      </c>
      <c r="K97" s="261">
        <f t="shared" si="49"/>
        <v>0</v>
      </c>
      <c r="L97" s="261">
        <f t="shared" si="49"/>
        <v>0</v>
      </c>
      <c r="M97" s="2"/>
      <c r="N97" s="2" t="s">
        <v>587</v>
      </c>
    </row>
    <row r="98" spans="1:14">
      <c r="A98" s="2" t="s">
        <v>632</v>
      </c>
      <c r="B98" s="240" t="s">
        <v>646</v>
      </c>
      <c r="C98" s="261">
        <f t="shared" ref="C98:L98" si="50">C43</f>
        <v>0</v>
      </c>
      <c r="D98" s="261">
        <f t="shared" si="50"/>
        <v>0</v>
      </c>
      <c r="E98" s="261">
        <f t="shared" si="50"/>
        <v>0</v>
      </c>
      <c r="F98" s="261">
        <f t="shared" si="50"/>
        <v>0</v>
      </c>
      <c r="G98" s="261">
        <f t="shared" si="50"/>
        <v>0</v>
      </c>
      <c r="H98" s="261">
        <f t="shared" si="50"/>
        <v>0</v>
      </c>
      <c r="I98" s="261">
        <f t="shared" si="50"/>
        <v>0</v>
      </c>
      <c r="J98" s="261">
        <f t="shared" si="50"/>
        <v>0</v>
      </c>
      <c r="K98" s="261">
        <f t="shared" si="50"/>
        <v>0</v>
      </c>
      <c r="L98" s="261">
        <f t="shared" si="50"/>
        <v>0</v>
      </c>
      <c r="M98" s="2"/>
      <c r="N98" s="2" t="s">
        <v>587</v>
      </c>
    </row>
    <row r="99" spans="1:14">
      <c r="A99" s="2"/>
      <c r="B99" s="2"/>
      <c r="C99" s="262"/>
      <c r="D99" s="262"/>
      <c r="E99" s="262"/>
      <c r="F99" s="262"/>
      <c r="G99" s="262"/>
      <c r="H99" s="262"/>
      <c r="I99" s="262"/>
      <c r="J99" s="262"/>
      <c r="K99" s="262"/>
      <c r="L99" s="262"/>
      <c r="M99" s="2"/>
      <c r="N99" s="2"/>
    </row>
    <row r="100" spans="1:14">
      <c r="A100" s="2" t="s">
        <v>633</v>
      </c>
      <c r="B100" s="2" t="s">
        <v>634</v>
      </c>
      <c r="C100" s="261">
        <f t="shared" ref="C100:L100" si="51">SUM(C36:C37)</f>
        <v>0</v>
      </c>
      <c r="D100" s="261">
        <f t="shared" si="51"/>
        <v>0</v>
      </c>
      <c r="E100" s="261">
        <f t="shared" si="51"/>
        <v>0</v>
      </c>
      <c r="F100" s="261">
        <f t="shared" si="51"/>
        <v>0</v>
      </c>
      <c r="G100" s="261">
        <f t="shared" si="51"/>
        <v>0</v>
      </c>
      <c r="H100" s="261">
        <f t="shared" si="51"/>
        <v>0</v>
      </c>
      <c r="I100" s="261">
        <f t="shared" si="51"/>
        <v>0</v>
      </c>
      <c r="J100" s="261">
        <f t="shared" si="51"/>
        <v>0</v>
      </c>
      <c r="K100" s="261">
        <f t="shared" si="51"/>
        <v>0</v>
      </c>
      <c r="L100" s="261">
        <f t="shared" si="51"/>
        <v>0</v>
      </c>
      <c r="M100" s="2" t="s">
        <v>574</v>
      </c>
      <c r="N100" s="2" t="s">
        <v>587</v>
      </c>
    </row>
    <row r="101" spans="1:14">
      <c r="A101" s="2" t="s">
        <v>529</v>
      </c>
      <c r="B101" s="2"/>
      <c r="C101" s="261">
        <f t="shared" ref="C101:L101" si="52">C100</f>
        <v>0</v>
      </c>
      <c r="D101" s="261">
        <f t="shared" si="52"/>
        <v>0</v>
      </c>
      <c r="E101" s="261">
        <f t="shared" si="52"/>
        <v>0</v>
      </c>
      <c r="F101" s="261">
        <f t="shared" si="52"/>
        <v>0</v>
      </c>
      <c r="G101" s="261">
        <f t="shared" si="52"/>
        <v>0</v>
      </c>
      <c r="H101" s="261">
        <f t="shared" si="52"/>
        <v>0</v>
      </c>
      <c r="I101" s="261">
        <f t="shared" si="52"/>
        <v>0</v>
      </c>
      <c r="J101" s="261">
        <f t="shared" si="52"/>
        <v>0</v>
      </c>
      <c r="K101" s="261">
        <f t="shared" si="52"/>
        <v>0</v>
      </c>
      <c r="L101" s="261">
        <f t="shared" si="52"/>
        <v>0</v>
      </c>
      <c r="M101" s="2" t="s">
        <v>574</v>
      </c>
      <c r="N101" s="2" t="s">
        <v>587</v>
      </c>
    </row>
    <row r="102" spans="1:14">
      <c r="A102" s="2"/>
      <c r="B102" s="249" t="s">
        <v>653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 t="s">
        <v>574</v>
      </c>
      <c r="N102" s="2" t="s">
        <v>575</v>
      </c>
    </row>
    <row r="103" spans="1:1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6" t="s">
        <v>635</v>
      </c>
      <c r="B104" s="7" t="s">
        <v>636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 t="s">
        <v>33</v>
      </c>
      <c r="N104" s="2" t="s">
        <v>575</v>
      </c>
    </row>
    <row r="105" spans="1:14">
      <c r="A105" s="6"/>
      <c r="B105" s="7" t="s">
        <v>620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 t="s">
        <v>33</v>
      </c>
      <c r="N105" s="2" t="s">
        <v>575</v>
      </c>
    </row>
    <row r="106" spans="1:14">
      <c r="A106" s="6"/>
      <c r="B106" s="7" t="s">
        <v>622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 t="s">
        <v>33</v>
      </c>
      <c r="N106" s="2" t="s">
        <v>575</v>
      </c>
    </row>
    <row r="107" spans="1:14">
      <c r="A107" s="6"/>
      <c r="B107" s="3" t="s">
        <v>239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 t="s">
        <v>574</v>
      </c>
      <c r="N107" s="2" t="s">
        <v>575</v>
      </c>
    </row>
    <row r="108" spans="1:14">
      <c r="A108" s="6"/>
      <c r="B108" s="3" t="s">
        <v>246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 t="s">
        <v>574</v>
      </c>
      <c r="N108" s="2" t="s">
        <v>575</v>
      </c>
    </row>
    <row r="109" spans="1:14">
      <c r="A109" s="2" t="s">
        <v>637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>
      <c r="A110" s="2"/>
      <c r="B110" s="3" t="s">
        <v>239</v>
      </c>
      <c r="C110" s="262">
        <f t="shared" ref="C110:L110" si="53">ROUNDUP((C107*10%)+C107,0)</f>
        <v>0</v>
      </c>
      <c r="D110" s="262">
        <f t="shared" si="53"/>
        <v>0</v>
      </c>
      <c r="E110" s="262">
        <f t="shared" si="53"/>
        <v>0</v>
      </c>
      <c r="F110" s="262">
        <f t="shared" si="53"/>
        <v>0</v>
      </c>
      <c r="G110" s="262">
        <f t="shared" si="53"/>
        <v>0</v>
      </c>
      <c r="H110" s="262">
        <f t="shared" si="53"/>
        <v>0</v>
      </c>
      <c r="I110" s="262">
        <f t="shared" si="53"/>
        <v>0</v>
      </c>
      <c r="J110" s="262">
        <f t="shared" si="53"/>
        <v>0</v>
      </c>
      <c r="K110" s="262">
        <f t="shared" si="53"/>
        <v>0</v>
      </c>
      <c r="L110" s="262">
        <f t="shared" si="53"/>
        <v>0</v>
      </c>
      <c r="M110" s="2" t="s">
        <v>574</v>
      </c>
      <c r="N110" s="2" t="s">
        <v>587</v>
      </c>
    </row>
    <row r="111" spans="1:14">
      <c r="A111" s="2"/>
      <c r="B111" s="3" t="s">
        <v>246</v>
      </c>
      <c r="C111" s="262">
        <f t="shared" ref="C111:L111" si="54">ROUNDUP((C108*10%)+C108,0)</f>
        <v>0</v>
      </c>
      <c r="D111" s="262">
        <f t="shared" si="54"/>
        <v>0</v>
      </c>
      <c r="E111" s="262">
        <f t="shared" si="54"/>
        <v>0</v>
      </c>
      <c r="F111" s="262">
        <f t="shared" si="54"/>
        <v>0</v>
      </c>
      <c r="G111" s="262">
        <f t="shared" si="54"/>
        <v>0</v>
      </c>
      <c r="H111" s="262">
        <f t="shared" si="54"/>
        <v>0</v>
      </c>
      <c r="I111" s="262">
        <f t="shared" si="54"/>
        <v>0</v>
      </c>
      <c r="J111" s="262">
        <f t="shared" si="54"/>
        <v>0</v>
      </c>
      <c r="K111" s="262">
        <f t="shared" si="54"/>
        <v>0</v>
      </c>
      <c r="L111" s="262">
        <f t="shared" si="54"/>
        <v>0</v>
      </c>
      <c r="M111" s="2" t="s">
        <v>574</v>
      </c>
      <c r="N111" s="2" t="s">
        <v>587</v>
      </c>
    </row>
    <row r="112" spans="1:14">
      <c r="A112" s="6" t="s">
        <v>625</v>
      </c>
      <c r="B112" s="7" t="s">
        <v>243</v>
      </c>
      <c r="C112" s="262">
        <f t="shared" ref="C112:L112" si="55">C110/200</f>
        <v>0</v>
      </c>
      <c r="D112" s="262">
        <f t="shared" si="55"/>
        <v>0</v>
      </c>
      <c r="E112" s="262">
        <f t="shared" si="55"/>
        <v>0</v>
      </c>
      <c r="F112" s="262">
        <f t="shared" si="55"/>
        <v>0</v>
      </c>
      <c r="G112" s="262">
        <f t="shared" si="55"/>
        <v>0</v>
      </c>
      <c r="H112" s="262">
        <f t="shared" si="55"/>
        <v>0</v>
      </c>
      <c r="I112" s="262">
        <f t="shared" si="55"/>
        <v>0</v>
      </c>
      <c r="J112" s="262">
        <f t="shared" si="55"/>
        <v>0</v>
      </c>
      <c r="K112" s="262">
        <f t="shared" si="55"/>
        <v>0</v>
      </c>
      <c r="L112" s="262">
        <f t="shared" si="55"/>
        <v>0</v>
      </c>
      <c r="M112" s="2" t="s">
        <v>148</v>
      </c>
      <c r="N112" s="2" t="s">
        <v>587</v>
      </c>
    </row>
    <row r="113" spans="1:14">
      <c r="A113" s="6"/>
      <c r="B113" s="7" t="s">
        <v>249</v>
      </c>
      <c r="C113" s="262">
        <f t="shared" ref="C113:L113" si="56">C111/200</f>
        <v>0</v>
      </c>
      <c r="D113" s="262">
        <f t="shared" si="56"/>
        <v>0</v>
      </c>
      <c r="E113" s="262">
        <f t="shared" si="56"/>
        <v>0</v>
      </c>
      <c r="F113" s="262">
        <f t="shared" si="56"/>
        <v>0</v>
      </c>
      <c r="G113" s="262">
        <f t="shared" si="56"/>
        <v>0</v>
      </c>
      <c r="H113" s="262">
        <f t="shared" si="56"/>
        <v>0</v>
      </c>
      <c r="I113" s="262">
        <f t="shared" si="56"/>
        <v>0</v>
      </c>
      <c r="J113" s="262">
        <f t="shared" si="56"/>
        <v>0</v>
      </c>
      <c r="K113" s="262">
        <f t="shared" si="56"/>
        <v>0</v>
      </c>
      <c r="L113" s="262">
        <f t="shared" si="56"/>
        <v>0</v>
      </c>
      <c r="M113" s="2" t="s">
        <v>148</v>
      </c>
      <c r="N113" s="2" t="s">
        <v>587</v>
      </c>
    </row>
    <row r="114" spans="1:14">
      <c r="A114" s="6" t="s">
        <v>638</v>
      </c>
      <c r="B114" s="7" t="s">
        <v>624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 t="s">
        <v>92</v>
      </c>
      <c r="N114" s="2" t="s">
        <v>575</v>
      </c>
    </row>
    <row r="115" spans="1:14">
      <c r="A115" s="6"/>
      <c r="B115" s="7" t="s">
        <v>639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 t="s">
        <v>92</v>
      </c>
      <c r="N115" s="2" t="s">
        <v>575</v>
      </c>
    </row>
    <row r="116" spans="1:14">
      <c r="A116" s="6"/>
      <c r="B116" s="7" t="s">
        <v>640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 t="s">
        <v>92</v>
      </c>
      <c r="N116" s="2" t="s">
        <v>575</v>
      </c>
    </row>
    <row r="117" spans="1:14">
      <c r="A117" s="6"/>
      <c r="B117" s="7" t="s">
        <v>641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 t="s">
        <v>92</v>
      </c>
      <c r="N117" s="2" t="s">
        <v>575</v>
      </c>
    </row>
    <row r="118" spans="1:14">
      <c r="A118" s="6" t="s">
        <v>623</v>
      </c>
      <c r="B118" s="7" t="s">
        <v>624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 t="s">
        <v>33</v>
      </c>
      <c r="N118" s="2" t="s">
        <v>575</v>
      </c>
    </row>
    <row r="119" spans="1:14">
      <c r="A119" s="6"/>
      <c r="B119" s="7" t="s">
        <v>639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 t="s">
        <v>33</v>
      </c>
      <c r="N119" s="2" t="s">
        <v>575</v>
      </c>
    </row>
    <row r="120" spans="1:14">
      <c r="A120" s="6"/>
      <c r="B120" s="7" t="s">
        <v>640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 t="s">
        <v>33</v>
      </c>
      <c r="N120" s="2" t="s">
        <v>575</v>
      </c>
    </row>
    <row r="121" spans="1:14">
      <c r="A121" s="6" t="s">
        <v>642</v>
      </c>
      <c r="B121" s="7"/>
      <c r="C121" s="262">
        <f t="shared" ref="C121:L121" si="57">C118</f>
        <v>0</v>
      </c>
      <c r="D121" s="262">
        <f t="shared" si="57"/>
        <v>0</v>
      </c>
      <c r="E121" s="262">
        <f t="shared" si="57"/>
        <v>0</v>
      </c>
      <c r="F121" s="262">
        <f t="shared" si="57"/>
        <v>0</v>
      </c>
      <c r="G121" s="262">
        <f t="shared" si="57"/>
        <v>0</v>
      </c>
      <c r="H121" s="262">
        <f t="shared" si="57"/>
        <v>0</v>
      </c>
      <c r="I121" s="262">
        <f t="shared" si="57"/>
        <v>0</v>
      </c>
      <c r="J121" s="262">
        <f t="shared" si="57"/>
        <v>0</v>
      </c>
      <c r="K121" s="262">
        <f t="shared" si="57"/>
        <v>0</v>
      </c>
      <c r="L121" s="262">
        <f t="shared" si="57"/>
        <v>0</v>
      </c>
      <c r="M121" s="2" t="s">
        <v>148</v>
      </c>
      <c r="N121" s="2" t="s">
        <v>587</v>
      </c>
    </row>
    <row r="122" spans="1:14">
      <c r="A122" s="8" t="s">
        <v>626</v>
      </c>
      <c r="B122" s="8" t="s">
        <v>627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2" t="s">
        <v>33</v>
      </c>
      <c r="N122" s="2" t="s">
        <v>575</v>
      </c>
    </row>
    <row r="123" spans="1:14">
      <c r="A123" s="6" t="s">
        <v>308</v>
      </c>
      <c r="B123" s="7" t="s">
        <v>308</v>
      </c>
      <c r="C123" s="262">
        <f t="shared" ref="C123:L123" si="58">C111</f>
        <v>0</v>
      </c>
      <c r="D123" s="262">
        <f t="shared" si="58"/>
        <v>0</v>
      </c>
      <c r="E123" s="262">
        <f t="shared" si="58"/>
        <v>0</v>
      </c>
      <c r="F123" s="262">
        <f t="shared" si="58"/>
        <v>0</v>
      </c>
      <c r="G123" s="262">
        <f t="shared" si="58"/>
        <v>0</v>
      </c>
      <c r="H123" s="262">
        <f t="shared" si="58"/>
        <v>0</v>
      </c>
      <c r="I123" s="262">
        <f t="shared" si="58"/>
        <v>0</v>
      </c>
      <c r="J123" s="262">
        <f t="shared" si="58"/>
        <v>0</v>
      </c>
      <c r="K123" s="262">
        <f t="shared" si="58"/>
        <v>0</v>
      </c>
      <c r="L123" s="262">
        <f t="shared" si="58"/>
        <v>0</v>
      </c>
      <c r="M123" s="2" t="s">
        <v>33</v>
      </c>
      <c r="N123" s="2" t="s">
        <v>587</v>
      </c>
    </row>
    <row r="124" spans="1:14">
      <c r="A124" s="6" t="s">
        <v>643</v>
      </c>
      <c r="B124" s="7" t="s">
        <v>644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 t="s">
        <v>148</v>
      </c>
      <c r="N124" s="2" t="s">
        <v>575</v>
      </c>
    </row>
    <row r="125" spans="1:14">
      <c r="A125" s="6"/>
      <c r="B125" s="7" t="s">
        <v>306</v>
      </c>
      <c r="C125" s="262">
        <f t="shared" ref="C125:L125" si="59">C124</f>
        <v>0</v>
      </c>
      <c r="D125" s="262">
        <f t="shared" si="59"/>
        <v>0</v>
      </c>
      <c r="E125" s="262">
        <f t="shared" si="59"/>
        <v>0</v>
      </c>
      <c r="F125" s="262">
        <f t="shared" si="59"/>
        <v>0</v>
      </c>
      <c r="G125" s="262">
        <f t="shared" si="59"/>
        <v>0</v>
      </c>
      <c r="H125" s="262">
        <f t="shared" si="59"/>
        <v>0</v>
      </c>
      <c r="I125" s="262">
        <f t="shared" si="59"/>
        <v>0</v>
      </c>
      <c r="J125" s="262">
        <f t="shared" si="59"/>
        <v>0</v>
      </c>
      <c r="K125" s="262">
        <f t="shared" si="59"/>
        <v>0</v>
      </c>
      <c r="L125" s="262">
        <f t="shared" si="59"/>
        <v>0</v>
      </c>
      <c r="M125" s="2" t="s">
        <v>148</v>
      </c>
      <c r="N125" s="2" t="s">
        <v>587</v>
      </c>
    </row>
    <row r="126" spans="1:14">
      <c r="A126" s="6" t="s">
        <v>255</v>
      </c>
      <c r="B126" s="7" t="s">
        <v>645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 t="s">
        <v>33</v>
      </c>
      <c r="N126" s="2" t="s">
        <v>575</v>
      </c>
    </row>
    <row r="127" spans="1:14">
      <c r="A127" s="6" t="s">
        <v>257</v>
      </c>
      <c r="B127" s="7" t="s">
        <v>645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 t="s">
        <v>33</v>
      </c>
      <c r="N127" s="2" t="s">
        <v>575</v>
      </c>
    </row>
  </sheetData>
  <mergeCells count="4">
    <mergeCell ref="A14:B14"/>
    <mergeCell ref="A36:B36"/>
    <mergeCell ref="A69:B69"/>
    <mergeCell ref="A23:B2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 PO Permit</vt:lpstr>
      <vt:lpstr>BoQ NRO Cluster</vt:lpstr>
      <vt:lpstr>BoM CLUSTER UG</vt:lpstr>
      <vt:lpstr>'BoQ NRO Cluster'!Print_Area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Employee</dc:creator>
  <cp:lastModifiedBy>rizka.nurindahfauziah@gmail.com</cp:lastModifiedBy>
  <cp:lastPrinted>2021-07-05T14:58:00Z</cp:lastPrinted>
  <dcterms:created xsi:type="dcterms:W3CDTF">2021-06-22T07:23:00Z</dcterms:created>
  <dcterms:modified xsi:type="dcterms:W3CDTF">2026-06-23T16:13:18Z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4a70e84e-96c7-439b-8249-806c841e593f</vt:lpwstr>
  </property>
  <property fmtid="{D5CDD505-2E9C-101B-9397-08002B2CF9AE}" pid="3" name="KSOProductBuildVer">
    <vt:lpwstr>1033-12.2.0.13359</vt:lpwstr>
  </property>
  <property fmtid="{D5CDD505-2E9C-101B-9397-08002B2CF9AE}" pid="4" name="ICV">
    <vt:lpwstr>A760EB09846C4E749340CB39B83A3DE4_13</vt:lpwstr>
  </property>
</Properties>
</file>